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D:\FILE PENTING\POWER BI\"/>
    </mc:Choice>
  </mc:AlternateContent>
  <xr:revisionPtr revIDLastSave="0" documentId="8_{D25C3A93-4F0E-4778-91A7-3CA2DEC9B781}" xr6:coauthVersionLast="47" xr6:coauthVersionMax="47" xr10:uidLastSave="{00000000-0000-0000-0000-000000000000}"/>
  <bookViews>
    <workbookView xWindow="-120" yWindow="-120" windowWidth="20730" windowHeight="11310" tabRatio="500" activeTab="3" xr2:uid="{00000000-000D-0000-FFFF-FFFF00000000}"/>
  </bookViews>
  <sheets>
    <sheet name="Detail1" sheetId="3" r:id="rId1"/>
    <sheet name="Dataset" sheetId="1" r:id="rId2"/>
    <sheet name="Pivot" sheetId="2" r:id="rId3"/>
    <sheet name="Dashboard" sheetId="4" r:id="rId4"/>
  </sheets>
  <definedNames>
    <definedName name="_xlchart.v1.0" hidden="1">Pivot!$J$43:$J$48</definedName>
    <definedName name="_xlchart.v1.1" hidden="1">Pivot!$K$43:$K$48</definedName>
    <definedName name="_xlchart.v1.2" hidden="1">Pivot!$J$43:$J$48</definedName>
    <definedName name="_xlchart.v1.3" hidden="1">Pivot!$K$43:$K$48</definedName>
    <definedName name="Slicer_Account">#N/A</definedName>
    <definedName name="Slicer_Month">#N/A</definedName>
  </definedNames>
  <calcPr calcId="191029" iterateDelta="1E-4"/>
  <pivotCaches>
    <pivotCache cacheId="67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6" i="2" l="1"/>
  <c r="U442" i="1"/>
  <c r="V442" i="1"/>
  <c r="T442" i="1"/>
  <c r="U441" i="1"/>
  <c r="V441" i="1"/>
  <c r="T441" i="1"/>
  <c r="U440" i="1"/>
  <c r="V440" i="1"/>
  <c r="T440" i="1"/>
  <c r="U439" i="1"/>
  <c r="V439" i="1"/>
  <c r="T439" i="1"/>
  <c r="U438" i="1"/>
  <c r="V438" i="1"/>
  <c r="T438" i="1"/>
  <c r="U437" i="1"/>
  <c r="V437" i="1"/>
  <c r="T437" i="1"/>
  <c r="U436" i="1"/>
  <c r="V436" i="1"/>
  <c r="T436" i="1"/>
  <c r="U435" i="1"/>
  <c r="V435" i="1"/>
  <c r="T435" i="1"/>
  <c r="U434" i="1"/>
  <c r="V434" i="1"/>
  <c r="T434" i="1"/>
  <c r="U433" i="1"/>
  <c r="V433" i="1"/>
  <c r="T433" i="1"/>
  <c r="U432" i="1"/>
  <c r="V432" i="1"/>
  <c r="T432" i="1"/>
  <c r="U431" i="1"/>
  <c r="V431" i="1"/>
  <c r="T431" i="1"/>
  <c r="U430" i="1"/>
  <c r="V430" i="1"/>
  <c r="T430" i="1"/>
  <c r="U429" i="1"/>
  <c r="V429" i="1"/>
  <c r="T429" i="1"/>
  <c r="U428" i="1"/>
  <c r="V428" i="1"/>
  <c r="T428" i="1"/>
  <c r="U427" i="1"/>
  <c r="V427" i="1"/>
  <c r="T427" i="1"/>
  <c r="U426" i="1"/>
  <c r="V426" i="1"/>
  <c r="T426" i="1"/>
  <c r="U425" i="1"/>
  <c r="V425" i="1"/>
  <c r="T425" i="1"/>
  <c r="U424" i="1"/>
  <c r="V424" i="1"/>
  <c r="T424" i="1"/>
  <c r="U423" i="1"/>
  <c r="V423" i="1"/>
  <c r="T423" i="1"/>
  <c r="U422" i="1"/>
  <c r="V422" i="1"/>
  <c r="T422" i="1"/>
  <c r="U421" i="1"/>
  <c r="V421" i="1"/>
  <c r="T421" i="1"/>
  <c r="U420" i="1"/>
  <c r="V420" i="1"/>
  <c r="T420" i="1"/>
  <c r="U419" i="1"/>
  <c r="V419" i="1"/>
  <c r="T419" i="1"/>
  <c r="U418" i="1"/>
  <c r="V418" i="1"/>
  <c r="T418" i="1"/>
  <c r="U417" i="1"/>
  <c r="V417" i="1"/>
  <c r="T417" i="1"/>
  <c r="U416" i="1"/>
  <c r="V416" i="1"/>
  <c r="T416" i="1"/>
  <c r="U415" i="1"/>
  <c r="V415" i="1"/>
  <c r="T415" i="1"/>
  <c r="U414" i="1"/>
  <c r="V414" i="1"/>
  <c r="T414" i="1"/>
  <c r="U413" i="1"/>
  <c r="V413" i="1"/>
  <c r="T413" i="1"/>
  <c r="U412" i="1"/>
  <c r="V412" i="1"/>
  <c r="T412" i="1"/>
  <c r="U411" i="1"/>
  <c r="V411" i="1"/>
  <c r="T411" i="1"/>
  <c r="U410" i="1"/>
  <c r="V410" i="1"/>
  <c r="T410" i="1"/>
  <c r="U409" i="1"/>
  <c r="V409" i="1"/>
  <c r="T409" i="1"/>
  <c r="U408" i="1"/>
  <c r="V408" i="1"/>
  <c r="T408" i="1"/>
  <c r="U407" i="1"/>
  <c r="V407" i="1"/>
  <c r="T407" i="1"/>
  <c r="U406" i="1"/>
  <c r="V406" i="1"/>
  <c r="T406" i="1"/>
  <c r="U405" i="1"/>
  <c r="V405" i="1"/>
  <c r="T405" i="1"/>
  <c r="U404" i="1"/>
  <c r="V404" i="1"/>
  <c r="T404" i="1"/>
  <c r="U403" i="1"/>
  <c r="V403" i="1"/>
  <c r="T403" i="1"/>
  <c r="U402" i="1"/>
  <c r="V402" i="1"/>
  <c r="T402" i="1"/>
  <c r="U401" i="1"/>
  <c r="V401" i="1"/>
  <c r="T401" i="1"/>
  <c r="U400" i="1"/>
  <c r="V400" i="1"/>
  <c r="T400" i="1"/>
  <c r="U399" i="1"/>
  <c r="V399" i="1"/>
  <c r="T399" i="1"/>
  <c r="U398" i="1"/>
  <c r="V398" i="1"/>
  <c r="T398" i="1"/>
  <c r="U397" i="1"/>
  <c r="V397" i="1"/>
  <c r="T397" i="1"/>
  <c r="U396" i="1"/>
  <c r="V396" i="1"/>
  <c r="T396" i="1"/>
  <c r="U395" i="1"/>
  <c r="V395" i="1"/>
  <c r="T395" i="1"/>
  <c r="U394" i="1"/>
  <c r="V394" i="1"/>
  <c r="T394" i="1"/>
  <c r="U393" i="1"/>
  <c r="V393" i="1"/>
  <c r="T393" i="1"/>
  <c r="U392" i="1"/>
  <c r="V392" i="1"/>
  <c r="T392" i="1"/>
  <c r="U391" i="1"/>
  <c r="V391" i="1"/>
  <c r="T391" i="1"/>
  <c r="U390" i="1"/>
  <c r="V390" i="1"/>
  <c r="T390" i="1"/>
  <c r="U389" i="1"/>
  <c r="V389" i="1"/>
  <c r="T389" i="1"/>
  <c r="U388" i="1"/>
  <c r="V388" i="1"/>
  <c r="T388" i="1"/>
  <c r="U387" i="1"/>
  <c r="V387" i="1"/>
  <c r="T387" i="1"/>
  <c r="U386" i="1"/>
  <c r="V386" i="1"/>
  <c r="T386" i="1"/>
  <c r="U385" i="1"/>
  <c r="V385" i="1"/>
  <c r="T385" i="1"/>
  <c r="U384" i="1"/>
  <c r="V384" i="1"/>
  <c r="T384" i="1"/>
  <c r="U383" i="1"/>
  <c r="V383" i="1"/>
  <c r="T383" i="1"/>
  <c r="U382" i="1"/>
  <c r="V382" i="1"/>
  <c r="T382" i="1"/>
  <c r="U381" i="1"/>
  <c r="V381" i="1"/>
  <c r="T381" i="1"/>
  <c r="U380" i="1"/>
  <c r="V380" i="1"/>
  <c r="T380" i="1"/>
  <c r="U379" i="1"/>
  <c r="V379" i="1"/>
  <c r="T379" i="1"/>
  <c r="U378" i="1"/>
  <c r="V378" i="1"/>
  <c r="T378" i="1"/>
  <c r="U377" i="1"/>
  <c r="V377" i="1"/>
  <c r="T377" i="1"/>
  <c r="U376" i="1"/>
  <c r="V376" i="1"/>
  <c r="T376" i="1"/>
  <c r="U375" i="1"/>
  <c r="V375" i="1"/>
  <c r="T375" i="1"/>
  <c r="U374" i="1"/>
  <c r="V374" i="1"/>
  <c r="T374" i="1"/>
  <c r="U373" i="1"/>
  <c r="V373" i="1"/>
  <c r="T373" i="1"/>
  <c r="U372" i="1"/>
  <c r="V372" i="1"/>
  <c r="T372" i="1"/>
  <c r="U371" i="1"/>
  <c r="V371" i="1"/>
  <c r="T371" i="1"/>
  <c r="U370" i="1"/>
  <c r="V370" i="1"/>
  <c r="T370" i="1"/>
  <c r="U369" i="1"/>
  <c r="V369" i="1"/>
  <c r="T369" i="1"/>
  <c r="U368" i="1"/>
  <c r="V368" i="1"/>
  <c r="T368" i="1"/>
  <c r="U367" i="1"/>
  <c r="V367" i="1"/>
  <c r="T367" i="1"/>
  <c r="U366" i="1"/>
  <c r="V366" i="1"/>
  <c r="T366" i="1"/>
  <c r="U365" i="1"/>
  <c r="V365" i="1"/>
  <c r="T365" i="1"/>
  <c r="U364" i="1"/>
  <c r="V364" i="1"/>
  <c r="T364" i="1"/>
  <c r="U363" i="1"/>
  <c r="V363" i="1"/>
  <c r="T363" i="1"/>
  <c r="U362" i="1"/>
  <c r="V362" i="1"/>
  <c r="T362" i="1"/>
  <c r="U361" i="1"/>
  <c r="V361" i="1"/>
  <c r="T361" i="1"/>
  <c r="U360" i="1"/>
  <c r="V360" i="1"/>
  <c r="T360" i="1"/>
  <c r="U359" i="1"/>
  <c r="V359" i="1"/>
  <c r="T359" i="1"/>
  <c r="U358" i="1"/>
  <c r="V358" i="1"/>
  <c r="T358" i="1"/>
  <c r="U357" i="1"/>
  <c r="V357" i="1"/>
  <c r="T357" i="1"/>
  <c r="U356" i="1"/>
  <c r="V356" i="1"/>
  <c r="T356" i="1"/>
  <c r="U355" i="1"/>
  <c r="V355" i="1"/>
  <c r="T355" i="1"/>
  <c r="U354" i="1"/>
  <c r="V354" i="1"/>
  <c r="T354" i="1"/>
  <c r="U353" i="1"/>
  <c r="V353" i="1"/>
  <c r="T353" i="1"/>
  <c r="U352" i="1"/>
  <c r="V352" i="1"/>
  <c r="T352" i="1"/>
  <c r="U351" i="1"/>
  <c r="V351" i="1"/>
  <c r="T351" i="1"/>
  <c r="U350" i="1"/>
  <c r="V350" i="1"/>
  <c r="T350" i="1"/>
  <c r="U349" i="1"/>
  <c r="V349" i="1"/>
  <c r="T349" i="1"/>
  <c r="U348" i="1"/>
  <c r="V348" i="1"/>
  <c r="T348" i="1"/>
  <c r="U347" i="1"/>
  <c r="V347" i="1"/>
  <c r="T347" i="1"/>
  <c r="U346" i="1"/>
  <c r="V346" i="1"/>
  <c r="T346" i="1"/>
  <c r="U345" i="1"/>
  <c r="V345" i="1"/>
  <c r="T345" i="1"/>
  <c r="U344" i="1"/>
  <c r="V344" i="1"/>
  <c r="T344" i="1"/>
  <c r="U343" i="1"/>
  <c r="V343" i="1"/>
  <c r="T343" i="1"/>
  <c r="U342" i="1"/>
  <c r="V342" i="1"/>
  <c r="T342" i="1"/>
  <c r="U341" i="1"/>
  <c r="V341" i="1"/>
  <c r="T341" i="1"/>
  <c r="U340" i="1"/>
  <c r="V340" i="1"/>
  <c r="T340" i="1"/>
  <c r="U339" i="1"/>
  <c r="V339" i="1"/>
  <c r="T339" i="1"/>
  <c r="U338" i="1"/>
  <c r="V338" i="1"/>
  <c r="T338" i="1"/>
  <c r="U337" i="1"/>
  <c r="V337" i="1"/>
  <c r="T337" i="1"/>
  <c r="U336" i="1"/>
  <c r="V336" i="1"/>
  <c r="T336" i="1"/>
  <c r="U335" i="1"/>
  <c r="V335" i="1"/>
  <c r="T335" i="1"/>
  <c r="U334" i="1"/>
  <c r="V334" i="1"/>
  <c r="T334" i="1"/>
  <c r="U333" i="1"/>
  <c r="V333" i="1"/>
  <c r="T333" i="1"/>
  <c r="U332" i="1"/>
  <c r="V332" i="1"/>
  <c r="T332" i="1"/>
  <c r="U331" i="1"/>
  <c r="V331" i="1"/>
  <c r="T331" i="1"/>
  <c r="U330" i="1"/>
  <c r="V330" i="1"/>
  <c r="T330" i="1"/>
  <c r="U329" i="1"/>
  <c r="V329" i="1"/>
  <c r="T329" i="1"/>
  <c r="U328" i="1"/>
  <c r="V328" i="1"/>
  <c r="T328" i="1"/>
  <c r="U327" i="1"/>
  <c r="V327" i="1"/>
  <c r="T327" i="1"/>
  <c r="U326" i="1"/>
  <c r="V326" i="1"/>
  <c r="T326" i="1"/>
  <c r="U325" i="1"/>
  <c r="V325" i="1"/>
  <c r="T325" i="1"/>
  <c r="U324" i="1"/>
  <c r="V324" i="1"/>
  <c r="T324" i="1"/>
  <c r="U323" i="1"/>
  <c r="V323" i="1"/>
  <c r="T323" i="1"/>
  <c r="U322" i="1"/>
  <c r="V322" i="1"/>
  <c r="T322" i="1"/>
  <c r="U321" i="1"/>
  <c r="V321" i="1"/>
  <c r="T321" i="1"/>
  <c r="U320" i="1"/>
  <c r="V320" i="1"/>
  <c r="T320" i="1"/>
  <c r="U319" i="1"/>
  <c r="V319" i="1"/>
  <c r="T319" i="1"/>
  <c r="U318" i="1"/>
  <c r="V318" i="1"/>
  <c r="T318" i="1"/>
  <c r="U317" i="1"/>
  <c r="V317" i="1"/>
  <c r="T317" i="1"/>
  <c r="U316" i="1"/>
  <c r="V316" i="1"/>
  <c r="T316" i="1"/>
  <c r="U315" i="1"/>
  <c r="V315" i="1"/>
  <c r="T315" i="1"/>
  <c r="U314" i="1"/>
  <c r="V314" i="1"/>
  <c r="T314" i="1"/>
  <c r="U313" i="1"/>
  <c r="V313" i="1"/>
  <c r="T313" i="1"/>
  <c r="U312" i="1"/>
  <c r="V312" i="1"/>
  <c r="T312" i="1"/>
  <c r="U311" i="1"/>
  <c r="V311" i="1"/>
  <c r="T311" i="1"/>
  <c r="U310" i="1"/>
  <c r="V310" i="1"/>
  <c r="T310" i="1"/>
  <c r="U309" i="1"/>
  <c r="V309" i="1"/>
  <c r="T309" i="1"/>
  <c r="U308" i="1"/>
  <c r="V308" i="1"/>
  <c r="T308" i="1"/>
  <c r="U307" i="1"/>
  <c r="V307" i="1"/>
  <c r="T307" i="1"/>
  <c r="U306" i="1"/>
  <c r="V306" i="1"/>
  <c r="T306" i="1"/>
  <c r="U305" i="1"/>
  <c r="V305" i="1"/>
  <c r="T305" i="1"/>
  <c r="U304" i="1"/>
  <c r="V304" i="1"/>
  <c r="T304" i="1"/>
  <c r="U303" i="1"/>
  <c r="V303" i="1"/>
  <c r="T303" i="1"/>
  <c r="U302" i="1"/>
  <c r="V302" i="1"/>
  <c r="T302" i="1"/>
  <c r="U301" i="1"/>
  <c r="V301" i="1"/>
  <c r="T301" i="1"/>
  <c r="U300" i="1"/>
  <c r="V300" i="1"/>
  <c r="T300" i="1"/>
  <c r="U299" i="1"/>
  <c r="V299" i="1"/>
  <c r="T299" i="1"/>
  <c r="U298" i="1"/>
  <c r="V298" i="1"/>
  <c r="T298" i="1"/>
  <c r="U297" i="1"/>
  <c r="V297" i="1"/>
  <c r="T297" i="1"/>
  <c r="U296" i="1"/>
  <c r="V296" i="1"/>
  <c r="T296" i="1"/>
  <c r="U295" i="1"/>
  <c r="V295" i="1"/>
  <c r="T295" i="1"/>
  <c r="U294" i="1"/>
  <c r="V294" i="1"/>
  <c r="T294" i="1"/>
  <c r="U293" i="1"/>
  <c r="V293" i="1"/>
  <c r="T293" i="1"/>
  <c r="U292" i="1"/>
  <c r="V292" i="1"/>
  <c r="T292" i="1"/>
  <c r="U291" i="1"/>
  <c r="V291" i="1"/>
  <c r="T291" i="1"/>
  <c r="U290" i="1"/>
  <c r="V290" i="1"/>
  <c r="T290" i="1"/>
  <c r="U289" i="1"/>
  <c r="V289" i="1"/>
  <c r="T289" i="1"/>
  <c r="U288" i="1"/>
  <c r="V288" i="1"/>
  <c r="T288" i="1"/>
  <c r="U287" i="1"/>
  <c r="V287" i="1"/>
  <c r="T287" i="1"/>
  <c r="U286" i="1"/>
  <c r="V286" i="1"/>
  <c r="T286" i="1"/>
  <c r="U285" i="1"/>
  <c r="V285" i="1"/>
  <c r="T285" i="1"/>
  <c r="U284" i="1"/>
  <c r="V284" i="1"/>
  <c r="T284" i="1"/>
  <c r="U283" i="1"/>
  <c r="V283" i="1"/>
  <c r="T283" i="1"/>
  <c r="U282" i="1"/>
  <c r="V282" i="1"/>
  <c r="T282" i="1"/>
  <c r="U281" i="1"/>
  <c r="V281" i="1"/>
  <c r="T281" i="1"/>
  <c r="U280" i="1"/>
  <c r="V280" i="1"/>
  <c r="T280" i="1"/>
  <c r="U279" i="1"/>
  <c r="V279" i="1"/>
  <c r="T279" i="1"/>
  <c r="U278" i="1"/>
  <c r="V278" i="1"/>
  <c r="T278" i="1"/>
  <c r="U277" i="1"/>
  <c r="V277" i="1"/>
  <c r="T277" i="1"/>
  <c r="U276" i="1"/>
  <c r="V276" i="1"/>
  <c r="T276" i="1"/>
  <c r="U275" i="1"/>
  <c r="V275" i="1"/>
  <c r="T275" i="1"/>
  <c r="U274" i="1"/>
  <c r="V274" i="1"/>
  <c r="T274" i="1"/>
  <c r="U273" i="1"/>
  <c r="V273" i="1"/>
  <c r="T273" i="1"/>
  <c r="U272" i="1"/>
  <c r="V272" i="1"/>
  <c r="T272" i="1"/>
  <c r="U271" i="1"/>
  <c r="V271" i="1"/>
  <c r="T271" i="1"/>
  <c r="U270" i="1"/>
  <c r="V270" i="1"/>
  <c r="T270" i="1"/>
  <c r="U269" i="1"/>
  <c r="V269" i="1"/>
  <c r="T269" i="1"/>
  <c r="U268" i="1"/>
  <c r="V268" i="1"/>
  <c r="T268" i="1"/>
  <c r="U267" i="1"/>
  <c r="V267" i="1"/>
  <c r="T267" i="1"/>
  <c r="U266" i="1"/>
  <c r="V266" i="1"/>
  <c r="T266" i="1"/>
  <c r="U265" i="1"/>
  <c r="V265" i="1"/>
  <c r="T265" i="1"/>
  <c r="U264" i="1"/>
  <c r="V264" i="1"/>
  <c r="T264" i="1"/>
  <c r="U263" i="1"/>
  <c r="V263" i="1"/>
  <c r="T263" i="1"/>
  <c r="U262" i="1"/>
  <c r="V262" i="1"/>
  <c r="T262" i="1"/>
  <c r="U261" i="1"/>
  <c r="V261" i="1"/>
  <c r="T261" i="1"/>
  <c r="U260" i="1"/>
  <c r="V260" i="1"/>
  <c r="T260" i="1"/>
  <c r="U259" i="1"/>
  <c r="V259" i="1"/>
  <c r="T259" i="1"/>
  <c r="U258" i="1"/>
  <c r="V258" i="1"/>
  <c r="T258" i="1"/>
  <c r="U257" i="1"/>
  <c r="V257" i="1"/>
  <c r="T257" i="1"/>
  <c r="U256" i="1"/>
  <c r="V256" i="1"/>
  <c r="T256" i="1"/>
  <c r="U255" i="1"/>
  <c r="V255" i="1"/>
  <c r="T255" i="1"/>
  <c r="U254" i="1"/>
  <c r="V254" i="1"/>
  <c r="T254" i="1"/>
  <c r="U253" i="1"/>
  <c r="V253" i="1"/>
  <c r="T253" i="1"/>
  <c r="U252" i="1"/>
  <c r="V252" i="1"/>
  <c r="T252" i="1"/>
  <c r="U251" i="1"/>
  <c r="V251" i="1"/>
  <c r="T251" i="1"/>
  <c r="U250" i="1"/>
  <c r="V250" i="1"/>
  <c r="T250" i="1"/>
  <c r="U249" i="1"/>
  <c r="V249" i="1"/>
  <c r="T249" i="1"/>
  <c r="U248" i="1"/>
  <c r="V248" i="1"/>
  <c r="T248" i="1"/>
  <c r="U247" i="1"/>
  <c r="V247" i="1"/>
  <c r="T247" i="1"/>
  <c r="U246" i="1"/>
  <c r="V246" i="1"/>
  <c r="T246" i="1"/>
  <c r="U245" i="1"/>
  <c r="V245" i="1"/>
  <c r="T245" i="1"/>
  <c r="U244" i="1"/>
  <c r="V244" i="1"/>
  <c r="T244" i="1"/>
  <c r="U243" i="1"/>
  <c r="V243" i="1"/>
  <c r="T243" i="1"/>
  <c r="U242" i="1"/>
  <c r="V242" i="1"/>
  <c r="T242" i="1"/>
  <c r="U241" i="1"/>
  <c r="V241" i="1"/>
  <c r="T241" i="1"/>
  <c r="U240" i="1"/>
  <c r="V240" i="1"/>
  <c r="T240" i="1"/>
  <c r="U239" i="1"/>
  <c r="V239" i="1"/>
  <c r="T239" i="1"/>
  <c r="U238" i="1"/>
  <c r="V238" i="1"/>
  <c r="T238" i="1"/>
  <c r="U237" i="1"/>
  <c r="V237" i="1"/>
  <c r="T237" i="1"/>
  <c r="U236" i="1"/>
  <c r="V236" i="1"/>
  <c r="T236" i="1"/>
  <c r="U235" i="1"/>
  <c r="V235" i="1"/>
  <c r="T235" i="1"/>
  <c r="U234" i="1"/>
  <c r="V234" i="1"/>
  <c r="T234" i="1"/>
  <c r="U233" i="1"/>
  <c r="V233" i="1"/>
  <c r="T233" i="1"/>
  <c r="U232" i="1"/>
  <c r="V232" i="1"/>
  <c r="T232" i="1"/>
  <c r="U231" i="1"/>
  <c r="V231" i="1"/>
  <c r="T231" i="1"/>
  <c r="U230" i="1"/>
  <c r="V230" i="1"/>
  <c r="T230" i="1"/>
  <c r="U229" i="1"/>
  <c r="V229" i="1"/>
  <c r="T229" i="1"/>
  <c r="U228" i="1"/>
  <c r="V228" i="1"/>
  <c r="T228" i="1"/>
  <c r="U227" i="1"/>
  <c r="V227" i="1"/>
  <c r="T227" i="1"/>
  <c r="U226" i="1"/>
  <c r="V226" i="1"/>
  <c r="T226" i="1"/>
  <c r="U225" i="1"/>
  <c r="V225" i="1"/>
  <c r="T225" i="1"/>
  <c r="U224" i="1"/>
  <c r="V224" i="1"/>
  <c r="T224" i="1"/>
  <c r="U223" i="1"/>
  <c r="V223" i="1"/>
  <c r="T223" i="1"/>
  <c r="U222" i="1"/>
  <c r="V222" i="1"/>
  <c r="T222" i="1"/>
  <c r="U221" i="1"/>
  <c r="V221" i="1"/>
  <c r="T221" i="1"/>
  <c r="U220" i="1"/>
  <c r="V220" i="1"/>
  <c r="T220" i="1"/>
  <c r="U219" i="1"/>
  <c r="V219" i="1"/>
  <c r="T219" i="1"/>
  <c r="U218" i="1"/>
  <c r="V218" i="1"/>
  <c r="T218" i="1"/>
  <c r="U217" i="1"/>
  <c r="V217" i="1"/>
  <c r="T217" i="1"/>
  <c r="U216" i="1"/>
  <c r="V216" i="1"/>
  <c r="T216" i="1"/>
  <c r="U215" i="1"/>
  <c r="V215" i="1"/>
  <c r="T215" i="1"/>
  <c r="U214" i="1"/>
  <c r="V214" i="1"/>
  <c r="T214" i="1"/>
  <c r="U213" i="1"/>
  <c r="V213" i="1"/>
  <c r="T213" i="1"/>
  <c r="U212" i="1"/>
  <c r="V212" i="1"/>
  <c r="T212" i="1"/>
  <c r="U211" i="1"/>
  <c r="V211" i="1"/>
  <c r="T211" i="1"/>
  <c r="U210" i="1"/>
  <c r="V210" i="1"/>
  <c r="T210" i="1"/>
  <c r="U209" i="1"/>
  <c r="V209" i="1"/>
  <c r="T209" i="1"/>
  <c r="U208" i="1"/>
  <c r="V208" i="1"/>
  <c r="T208" i="1"/>
  <c r="U207" i="1"/>
  <c r="V207" i="1"/>
  <c r="T207" i="1"/>
  <c r="U206" i="1"/>
  <c r="V206" i="1"/>
  <c r="T206" i="1"/>
  <c r="U205" i="1"/>
  <c r="V205" i="1"/>
  <c r="T205" i="1"/>
  <c r="U204" i="1"/>
  <c r="V204" i="1"/>
  <c r="T204" i="1"/>
  <c r="U203" i="1"/>
  <c r="V203" i="1"/>
  <c r="T203" i="1"/>
  <c r="U202" i="1"/>
  <c r="V202" i="1"/>
  <c r="T202" i="1"/>
  <c r="U201" i="1"/>
  <c r="V201" i="1"/>
  <c r="T201" i="1"/>
  <c r="U200" i="1"/>
  <c r="V200" i="1"/>
  <c r="T200" i="1"/>
  <c r="U199" i="1"/>
  <c r="V199" i="1"/>
  <c r="T199" i="1"/>
  <c r="U198" i="1"/>
  <c r="V198" i="1"/>
  <c r="T198" i="1"/>
  <c r="U197" i="1"/>
  <c r="V197" i="1"/>
  <c r="T197" i="1"/>
  <c r="U196" i="1"/>
  <c r="V196" i="1"/>
  <c r="T196" i="1"/>
  <c r="U195" i="1"/>
  <c r="V195" i="1"/>
  <c r="T195" i="1"/>
  <c r="U194" i="1"/>
  <c r="V194" i="1"/>
  <c r="T194" i="1"/>
  <c r="U193" i="1"/>
  <c r="V193" i="1"/>
  <c r="T193" i="1"/>
  <c r="U192" i="1"/>
  <c r="V192" i="1"/>
  <c r="T192" i="1"/>
  <c r="U191" i="1"/>
  <c r="V191" i="1"/>
  <c r="T191" i="1"/>
  <c r="U190" i="1"/>
  <c r="V190" i="1"/>
  <c r="T190" i="1"/>
  <c r="U189" i="1"/>
  <c r="V189" i="1"/>
  <c r="T189" i="1"/>
  <c r="U188" i="1"/>
  <c r="V188" i="1"/>
  <c r="T188" i="1"/>
  <c r="U187" i="1"/>
  <c r="V187" i="1"/>
  <c r="T187" i="1"/>
  <c r="U186" i="1"/>
  <c r="V186" i="1"/>
  <c r="T186" i="1"/>
  <c r="U185" i="1"/>
  <c r="V185" i="1"/>
  <c r="T185" i="1"/>
  <c r="U184" i="1"/>
  <c r="V184" i="1"/>
  <c r="T184" i="1"/>
  <c r="U183" i="1"/>
  <c r="V183" i="1"/>
  <c r="T183" i="1"/>
  <c r="U182" i="1"/>
  <c r="V182" i="1"/>
  <c r="T182" i="1"/>
  <c r="U181" i="1"/>
  <c r="V181" i="1"/>
  <c r="T181" i="1"/>
  <c r="U180" i="1"/>
  <c r="V180" i="1"/>
  <c r="T180" i="1"/>
  <c r="U179" i="1"/>
  <c r="V179" i="1"/>
  <c r="T179" i="1"/>
  <c r="U178" i="1"/>
  <c r="V178" i="1"/>
  <c r="T178" i="1"/>
  <c r="U177" i="1"/>
  <c r="V177" i="1"/>
  <c r="T177" i="1"/>
  <c r="U176" i="1"/>
  <c r="V176" i="1"/>
  <c r="T176" i="1"/>
  <c r="U175" i="1"/>
  <c r="V175" i="1"/>
  <c r="T175" i="1"/>
  <c r="U174" i="1"/>
  <c r="V174" i="1"/>
  <c r="T174" i="1"/>
  <c r="U173" i="1"/>
  <c r="V173" i="1"/>
  <c r="T173" i="1"/>
  <c r="U172" i="1"/>
  <c r="V172" i="1"/>
  <c r="T172" i="1"/>
  <c r="U171" i="1"/>
  <c r="V171" i="1"/>
  <c r="T171" i="1"/>
  <c r="U170" i="1"/>
  <c r="V170" i="1"/>
  <c r="T170" i="1"/>
  <c r="U169" i="1"/>
  <c r="V169" i="1"/>
  <c r="T169" i="1"/>
  <c r="U168" i="1"/>
  <c r="V168" i="1"/>
  <c r="T168" i="1"/>
  <c r="U167" i="1"/>
  <c r="V167" i="1"/>
  <c r="T167" i="1"/>
  <c r="U166" i="1"/>
  <c r="V166" i="1"/>
  <c r="T166" i="1"/>
  <c r="U165" i="1"/>
  <c r="V165" i="1"/>
  <c r="T165" i="1"/>
  <c r="U164" i="1"/>
  <c r="V164" i="1"/>
  <c r="T164" i="1"/>
  <c r="U163" i="1"/>
  <c r="V163" i="1"/>
  <c r="T163" i="1"/>
  <c r="U162" i="1"/>
  <c r="V162" i="1"/>
  <c r="T162" i="1"/>
  <c r="U161" i="1"/>
  <c r="V161" i="1"/>
  <c r="T161" i="1"/>
  <c r="U160" i="1"/>
  <c r="V160" i="1"/>
  <c r="T160" i="1"/>
  <c r="U159" i="1"/>
  <c r="V159" i="1"/>
  <c r="T159" i="1"/>
  <c r="U158" i="1"/>
  <c r="V158" i="1"/>
  <c r="T158" i="1"/>
  <c r="U157" i="1"/>
  <c r="V157" i="1"/>
  <c r="T157" i="1"/>
  <c r="U156" i="1"/>
  <c r="V156" i="1"/>
  <c r="T156" i="1"/>
  <c r="U155" i="1"/>
  <c r="V155" i="1"/>
  <c r="T155" i="1"/>
  <c r="U154" i="1"/>
  <c r="V154" i="1"/>
  <c r="T154" i="1"/>
  <c r="U153" i="1"/>
  <c r="V153" i="1"/>
  <c r="T153" i="1"/>
  <c r="U152" i="1"/>
  <c r="V152" i="1"/>
  <c r="T152" i="1"/>
  <c r="U151" i="1"/>
  <c r="V151" i="1"/>
  <c r="T151" i="1"/>
  <c r="U150" i="1"/>
  <c r="V150" i="1"/>
  <c r="T150" i="1"/>
  <c r="U149" i="1"/>
  <c r="V149" i="1"/>
  <c r="T149" i="1"/>
  <c r="U148" i="1"/>
  <c r="V148" i="1"/>
  <c r="T148" i="1"/>
  <c r="U147" i="1"/>
  <c r="V147" i="1"/>
  <c r="T147" i="1"/>
  <c r="U146" i="1"/>
  <c r="V146" i="1"/>
  <c r="T146" i="1"/>
  <c r="U145" i="1"/>
  <c r="V145" i="1"/>
  <c r="T145" i="1"/>
  <c r="U144" i="1"/>
  <c r="V144" i="1"/>
  <c r="T144" i="1"/>
  <c r="U143" i="1"/>
  <c r="V143" i="1"/>
  <c r="T143" i="1"/>
  <c r="U142" i="1"/>
  <c r="V142" i="1"/>
  <c r="T142" i="1"/>
  <c r="U141" i="1"/>
  <c r="V141" i="1"/>
  <c r="T141" i="1"/>
  <c r="U140" i="1"/>
  <c r="V140" i="1"/>
  <c r="T140" i="1"/>
  <c r="U139" i="1"/>
  <c r="V139" i="1"/>
  <c r="T139" i="1"/>
  <c r="U138" i="1"/>
  <c r="V138" i="1"/>
  <c r="T138" i="1"/>
  <c r="U137" i="1"/>
  <c r="V137" i="1"/>
  <c r="T137" i="1"/>
  <c r="U136" i="1"/>
  <c r="V136" i="1"/>
  <c r="T136" i="1"/>
  <c r="U135" i="1"/>
  <c r="V135" i="1"/>
  <c r="T135" i="1"/>
  <c r="U134" i="1"/>
  <c r="V134" i="1"/>
  <c r="T134" i="1"/>
  <c r="U133" i="1"/>
  <c r="V133" i="1"/>
  <c r="T133" i="1"/>
  <c r="U132" i="1"/>
  <c r="V132" i="1"/>
  <c r="T132" i="1"/>
  <c r="U131" i="1"/>
  <c r="V131" i="1"/>
  <c r="T131" i="1"/>
  <c r="U130" i="1"/>
  <c r="V130" i="1"/>
  <c r="T130" i="1"/>
  <c r="U129" i="1"/>
  <c r="V129" i="1"/>
  <c r="T129" i="1"/>
  <c r="U128" i="1"/>
  <c r="V128" i="1"/>
  <c r="T128" i="1"/>
  <c r="U127" i="1"/>
  <c r="V127" i="1"/>
  <c r="T127" i="1"/>
  <c r="U126" i="1"/>
  <c r="V126" i="1"/>
  <c r="T126" i="1"/>
  <c r="U125" i="1"/>
  <c r="V125" i="1"/>
  <c r="T125" i="1"/>
  <c r="U124" i="1"/>
  <c r="V124" i="1"/>
  <c r="T124" i="1"/>
  <c r="U123" i="1"/>
  <c r="V123" i="1"/>
  <c r="T123" i="1"/>
  <c r="U122" i="1"/>
  <c r="V122" i="1"/>
  <c r="T122" i="1"/>
  <c r="U121" i="1"/>
  <c r="V121" i="1"/>
  <c r="T121" i="1"/>
  <c r="U120" i="1"/>
  <c r="V120" i="1"/>
  <c r="T120" i="1"/>
  <c r="U119" i="1"/>
  <c r="V119" i="1"/>
  <c r="T119" i="1"/>
  <c r="U118" i="1"/>
  <c r="V118" i="1"/>
  <c r="T118" i="1"/>
  <c r="U117" i="1"/>
  <c r="V117" i="1"/>
  <c r="T117" i="1"/>
  <c r="U116" i="1"/>
  <c r="V116" i="1"/>
  <c r="T116" i="1"/>
  <c r="U115" i="1"/>
  <c r="V115" i="1"/>
  <c r="T115" i="1"/>
  <c r="U114" i="1"/>
  <c r="V114" i="1"/>
  <c r="T114" i="1"/>
  <c r="U113" i="1"/>
  <c r="V113" i="1"/>
  <c r="T113" i="1"/>
  <c r="U112" i="1"/>
  <c r="V112" i="1"/>
  <c r="T112" i="1"/>
  <c r="U111" i="1"/>
  <c r="V111" i="1"/>
  <c r="T111" i="1"/>
  <c r="U110" i="1"/>
  <c r="V110" i="1"/>
  <c r="T110" i="1"/>
  <c r="U109" i="1"/>
  <c r="V109" i="1"/>
  <c r="T109" i="1"/>
  <c r="U108" i="1"/>
  <c r="V108" i="1"/>
  <c r="T108" i="1"/>
  <c r="U107" i="1"/>
  <c r="V107" i="1"/>
  <c r="T107" i="1"/>
  <c r="U106" i="1"/>
  <c r="V106" i="1"/>
  <c r="T106" i="1"/>
  <c r="U105" i="1"/>
  <c r="V105" i="1"/>
  <c r="T105" i="1"/>
  <c r="U104" i="1"/>
  <c r="V104" i="1"/>
  <c r="T104" i="1"/>
  <c r="U103" i="1"/>
  <c r="V103" i="1"/>
  <c r="T103" i="1"/>
  <c r="U102" i="1"/>
  <c r="V102" i="1"/>
  <c r="T102" i="1"/>
  <c r="U101" i="1"/>
  <c r="V101" i="1"/>
  <c r="T101" i="1"/>
  <c r="U100" i="1"/>
  <c r="V100" i="1"/>
  <c r="T100" i="1"/>
  <c r="U99" i="1"/>
  <c r="V99" i="1"/>
  <c r="T99" i="1"/>
  <c r="U98" i="1"/>
  <c r="V98" i="1"/>
  <c r="T98" i="1"/>
  <c r="U97" i="1"/>
  <c r="V97" i="1"/>
  <c r="T97" i="1"/>
  <c r="U96" i="1"/>
  <c r="V96" i="1"/>
  <c r="T96" i="1"/>
  <c r="U95" i="1"/>
  <c r="V95" i="1"/>
  <c r="T95" i="1"/>
  <c r="U94" i="1"/>
  <c r="V94" i="1"/>
  <c r="T94" i="1"/>
  <c r="U93" i="1"/>
  <c r="V93" i="1"/>
  <c r="T93" i="1"/>
  <c r="U92" i="1"/>
  <c r="V92" i="1"/>
  <c r="T92" i="1"/>
  <c r="U91" i="1"/>
  <c r="V91" i="1"/>
  <c r="T91" i="1"/>
  <c r="U90" i="1"/>
  <c r="V90" i="1"/>
  <c r="T90" i="1"/>
  <c r="U89" i="1"/>
  <c r="V89" i="1"/>
  <c r="T89" i="1"/>
  <c r="U88" i="1"/>
  <c r="V88" i="1"/>
  <c r="T88" i="1"/>
  <c r="U87" i="1"/>
  <c r="V87" i="1"/>
  <c r="T87" i="1"/>
  <c r="U86" i="1"/>
  <c r="V86" i="1"/>
  <c r="T86" i="1"/>
  <c r="U85" i="1"/>
  <c r="V85" i="1"/>
  <c r="T85" i="1"/>
  <c r="U84" i="1"/>
  <c r="V84" i="1"/>
  <c r="T84" i="1"/>
  <c r="U83" i="1"/>
  <c r="V83" i="1"/>
  <c r="T83" i="1"/>
  <c r="U82" i="1"/>
  <c r="V82" i="1"/>
  <c r="T82" i="1"/>
  <c r="U81" i="1"/>
  <c r="V81" i="1"/>
  <c r="T81" i="1"/>
  <c r="U80" i="1"/>
  <c r="V80" i="1"/>
  <c r="T80" i="1"/>
  <c r="U79" i="1"/>
  <c r="V79" i="1"/>
  <c r="T79" i="1"/>
  <c r="U78" i="1"/>
  <c r="V78" i="1"/>
  <c r="T78" i="1"/>
  <c r="U77" i="1"/>
  <c r="V77" i="1"/>
  <c r="T77" i="1"/>
  <c r="U76" i="1"/>
  <c r="V76" i="1"/>
  <c r="T76" i="1"/>
  <c r="U75" i="1"/>
  <c r="V75" i="1"/>
  <c r="T75" i="1"/>
  <c r="U74" i="1"/>
  <c r="V74" i="1"/>
  <c r="T74" i="1"/>
  <c r="U73" i="1"/>
  <c r="V73" i="1"/>
  <c r="T73" i="1"/>
  <c r="U72" i="1"/>
  <c r="V72" i="1"/>
  <c r="T72" i="1"/>
  <c r="U71" i="1"/>
  <c r="V71" i="1"/>
  <c r="T71" i="1"/>
  <c r="U70" i="1"/>
  <c r="V70" i="1"/>
  <c r="T70" i="1"/>
  <c r="U69" i="1"/>
  <c r="V69" i="1"/>
  <c r="T69" i="1"/>
  <c r="U68" i="1"/>
  <c r="V68" i="1"/>
  <c r="T68" i="1"/>
  <c r="U67" i="1"/>
  <c r="V67" i="1"/>
  <c r="T67" i="1"/>
  <c r="U66" i="1"/>
  <c r="V66" i="1"/>
  <c r="T66" i="1"/>
  <c r="U65" i="1"/>
  <c r="V65" i="1"/>
  <c r="T65" i="1"/>
  <c r="U64" i="1"/>
  <c r="V64" i="1"/>
  <c r="T64" i="1"/>
  <c r="U63" i="1"/>
  <c r="V63" i="1"/>
  <c r="T63" i="1"/>
  <c r="U62" i="1"/>
  <c r="V62" i="1"/>
  <c r="T62" i="1"/>
  <c r="U61" i="1"/>
  <c r="V61" i="1"/>
  <c r="T61" i="1"/>
  <c r="U60" i="1"/>
  <c r="V60" i="1"/>
  <c r="T60" i="1"/>
  <c r="U59" i="1"/>
  <c r="V59" i="1"/>
  <c r="T59" i="1"/>
  <c r="U58" i="1"/>
  <c r="V58" i="1"/>
  <c r="T58" i="1"/>
  <c r="U57" i="1"/>
  <c r="V57" i="1"/>
  <c r="T57" i="1"/>
  <c r="U56" i="1"/>
  <c r="V56" i="1"/>
  <c r="T56" i="1"/>
  <c r="U55" i="1"/>
  <c r="V55" i="1"/>
  <c r="T55" i="1"/>
  <c r="U54" i="1"/>
  <c r="V54" i="1"/>
  <c r="T54" i="1"/>
  <c r="U53" i="1"/>
  <c r="V53" i="1"/>
  <c r="T53" i="1"/>
  <c r="U52" i="1"/>
  <c r="V52" i="1"/>
  <c r="T52" i="1"/>
  <c r="U51" i="1"/>
  <c r="V51" i="1"/>
  <c r="T51" i="1"/>
  <c r="U50" i="1"/>
  <c r="V50" i="1"/>
  <c r="T50" i="1"/>
  <c r="U49" i="1"/>
  <c r="V49" i="1"/>
  <c r="T49" i="1"/>
  <c r="U48" i="1"/>
  <c r="V48" i="1"/>
  <c r="T48" i="1"/>
  <c r="U47" i="1"/>
  <c r="V47" i="1"/>
  <c r="T47" i="1"/>
  <c r="U46" i="1"/>
  <c r="V46" i="1"/>
  <c r="T46" i="1"/>
  <c r="U45" i="1"/>
  <c r="V45" i="1"/>
  <c r="T45" i="1"/>
  <c r="U44" i="1"/>
  <c r="V44" i="1"/>
  <c r="T44" i="1"/>
  <c r="U43" i="1"/>
  <c r="V43" i="1"/>
  <c r="T43" i="1"/>
  <c r="U42" i="1"/>
  <c r="V42" i="1"/>
  <c r="T42" i="1"/>
  <c r="U41" i="1"/>
  <c r="V41" i="1"/>
  <c r="T41" i="1"/>
  <c r="U40" i="1"/>
  <c r="V40" i="1"/>
  <c r="T40" i="1"/>
  <c r="U39" i="1"/>
  <c r="V39" i="1"/>
  <c r="T39" i="1"/>
  <c r="U38" i="1"/>
  <c r="V38" i="1"/>
  <c r="T38" i="1"/>
  <c r="U37" i="1"/>
  <c r="V37" i="1"/>
  <c r="T37" i="1"/>
  <c r="U36" i="1"/>
  <c r="V36" i="1"/>
  <c r="T36" i="1"/>
  <c r="U35" i="1"/>
  <c r="V35" i="1"/>
  <c r="T35" i="1"/>
  <c r="U34" i="1"/>
  <c r="V34" i="1"/>
  <c r="T34" i="1"/>
  <c r="U33" i="1"/>
  <c r="V33" i="1"/>
  <c r="T33" i="1"/>
  <c r="U32" i="1"/>
  <c r="V32" i="1"/>
  <c r="T32" i="1"/>
  <c r="U31" i="1"/>
  <c r="V31" i="1"/>
  <c r="T31" i="1"/>
  <c r="U30" i="1"/>
  <c r="V30" i="1"/>
  <c r="T30" i="1"/>
  <c r="U29" i="1"/>
  <c r="V29" i="1"/>
  <c r="T29" i="1"/>
  <c r="U28" i="1"/>
  <c r="V28" i="1"/>
  <c r="T28" i="1"/>
  <c r="U27" i="1"/>
  <c r="V27" i="1"/>
  <c r="T27" i="1"/>
  <c r="U26" i="1"/>
  <c r="V26" i="1"/>
  <c r="T26" i="1"/>
  <c r="U25" i="1"/>
  <c r="V25" i="1"/>
  <c r="T25" i="1"/>
  <c r="U24" i="1"/>
  <c r="V24" i="1"/>
  <c r="T24" i="1"/>
  <c r="U23" i="1"/>
  <c r="V23" i="1"/>
  <c r="T23" i="1"/>
  <c r="U22" i="1"/>
  <c r="V22" i="1"/>
  <c r="T22" i="1"/>
  <c r="U21" i="1"/>
  <c r="V21" i="1"/>
  <c r="T21" i="1"/>
  <c r="U20" i="1"/>
  <c r="V20" i="1"/>
  <c r="T20" i="1"/>
  <c r="U19" i="1"/>
  <c r="V19" i="1"/>
  <c r="T19" i="1"/>
  <c r="U18" i="1"/>
  <c r="V18" i="1"/>
  <c r="T18" i="1"/>
  <c r="U17" i="1"/>
  <c r="V17" i="1"/>
  <c r="T17" i="1"/>
  <c r="U16" i="1"/>
  <c r="V16" i="1"/>
  <c r="T16" i="1"/>
  <c r="U15" i="1"/>
  <c r="V15" i="1"/>
  <c r="T15" i="1"/>
  <c r="U14" i="1"/>
  <c r="V14" i="1"/>
  <c r="T14" i="1"/>
  <c r="U13" i="1"/>
  <c r="V13" i="1"/>
  <c r="T13" i="1"/>
  <c r="U12" i="1"/>
  <c r="V12" i="1"/>
  <c r="T12" i="1"/>
  <c r="U11" i="1"/>
  <c r="V11" i="1"/>
  <c r="T11" i="1"/>
  <c r="U10" i="1"/>
  <c r="V10" i="1"/>
  <c r="T10" i="1"/>
  <c r="U9" i="1"/>
  <c r="V9" i="1"/>
  <c r="T9" i="1"/>
  <c r="U8" i="1"/>
  <c r="V8" i="1"/>
  <c r="T8" i="1"/>
  <c r="U7" i="1"/>
  <c r="V7" i="1"/>
  <c r="T7" i="1"/>
  <c r="U6" i="1"/>
  <c r="V6" i="1"/>
  <c r="T6" i="1"/>
  <c r="U5" i="1"/>
  <c r="V5" i="1"/>
  <c r="T5" i="1"/>
  <c r="U4" i="1"/>
  <c r="V4" i="1"/>
  <c r="T4" i="1"/>
  <c r="U3" i="1"/>
  <c r="V3" i="1"/>
  <c r="T3" i="1"/>
  <c r="U2" i="1"/>
  <c r="V2" i="1"/>
  <c r="T2" i="1"/>
  <c r="K44" i="2"/>
  <c r="K45" i="2"/>
  <c r="K46" i="2"/>
  <c r="K47" i="2"/>
  <c r="K48" i="2"/>
  <c r="K43" i="2"/>
  <c r="C15" i="2"/>
  <c r="C12" i="2"/>
  <c r="C11" i="2"/>
  <c r="C13" i="2" l="1"/>
  <c r="C14" i="2" s="1"/>
</calcChain>
</file>

<file path=xl/sharedStrings.xml><?xml version="1.0" encoding="utf-8"?>
<sst xmlns="http://schemas.openxmlformats.org/spreadsheetml/2006/main" count="8162" uniqueCount="561">
  <si>
    <t>Transaction ID</t>
  </si>
  <si>
    <t>Date</t>
  </si>
  <si>
    <t>Year</t>
  </si>
  <si>
    <t>Account</t>
  </si>
  <si>
    <t>Bank</t>
  </si>
  <si>
    <t>Transaction Type</t>
  </si>
  <si>
    <t>Category</t>
  </si>
  <si>
    <t>Sub Category</t>
  </si>
  <si>
    <t>Payment Method</t>
  </si>
  <si>
    <t>Merchant</t>
  </si>
  <si>
    <t>Description</t>
  </si>
  <si>
    <t>Amount (Rp)</t>
  </si>
  <si>
    <t>Budget (Rp)</t>
  </si>
  <si>
    <t>Savings Goal</t>
  </si>
  <si>
    <t>Location</t>
  </si>
  <si>
    <t>Status</t>
  </si>
  <si>
    <t>Recurring</t>
  </si>
  <si>
    <t>Tax Deductible</t>
  </si>
  <si>
    <t>Balance After Transaction (Rp)</t>
  </si>
  <si>
    <t>Month</t>
  </si>
  <si>
    <t>Quarter</t>
  </si>
  <si>
    <t>Month No</t>
  </si>
  <si>
    <t>TXN0002</t>
  </si>
  <si>
    <t>Savings</t>
  </si>
  <si>
    <t>Expense</t>
  </si>
  <si>
    <t>Rent</t>
  </si>
  <si>
    <t>House Rent</t>
  </si>
  <si>
    <t>Cash</t>
  </si>
  <si>
    <t>PT Sejahtera Makmur</t>
  </si>
  <si>
    <t>Vacation</t>
  </si>
  <si>
    <t>Surabaya</t>
  </si>
  <si>
    <t>Completed</t>
  </si>
  <si>
    <t>Yes</t>
  </si>
  <si>
    <t>No</t>
  </si>
  <si>
    <t>TXN0003</t>
  </si>
  <si>
    <t>Income</t>
  </si>
  <si>
    <t>Interest</t>
  </si>
  <si>
    <t>Net Banking</t>
  </si>
  <si>
    <t>Apotek Kimia Farma</t>
  </si>
  <si>
    <t>Emergency Fund</t>
  </si>
  <si>
    <t>Jakarta</t>
  </si>
  <si>
    <t>TXN0004</t>
  </si>
  <si>
    <t>Credit Card</t>
  </si>
  <si>
    <t>Fuel</t>
  </si>
  <si>
    <t>Petrol</t>
  </si>
  <si>
    <t>Debit Card</t>
  </si>
  <si>
    <t>Tokopedia</t>
  </si>
  <si>
    <t>Semarang</t>
  </si>
  <si>
    <t>TXN0006</t>
  </si>
  <si>
    <t>Bonus</t>
  </si>
  <si>
    <t>UPI</t>
  </si>
  <si>
    <t>Investment</t>
  </si>
  <si>
    <t>Medan</t>
  </si>
  <si>
    <t>TXN0007</t>
  </si>
  <si>
    <t>Healthcare</t>
  </si>
  <si>
    <t>Pharmacy</t>
  </si>
  <si>
    <t>Bank Transfer</t>
  </si>
  <si>
    <t>Telkomsel</t>
  </si>
  <si>
    <t>Car</t>
  </si>
  <si>
    <t>TXN0008</t>
  </si>
  <si>
    <t>Bandung</t>
  </si>
  <si>
    <t>TXN0009</t>
  </si>
  <si>
    <t>Shopping</t>
  </si>
  <si>
    <t>Clothing</t>
  </si>
  <si>
    <t>Pertamina</t>
  </si>
  <si>
    <t>TXN0011</t>
  </si>
  <si>
    <t>Palembang</t>
  </si>
  <si>
    <t>TXN0012</t>
  </si>
  <si>
    <t>Wallet</t>
  </si>
  <si>
    <t>TXN0013</t>
  </si>
  <si>
    <t>Internet</t>
  </si>
  <si>
    <t>Broadband</t>
  </si>
  <si>
    <t>Malang</t>
  </si>
  <si>
    <t>TXN0014</t>
  </si>
  <si>
    <t>Dining</t>
  </si>
  <si>
    <t>Restaurant</t>
  </si>
  <si>
    <t>Yogyakarta</t>
  </si>
  <si>
    <t>TXN0015</t>
  </si>
  <si>
    <t>Restoran Sederhana</t>
  </si>
  <si>
    <t>TXN0017</t>
  </si>
  <si>
    <t>Freelancing</t>
  </si>
  <si>
    <t>Project</t>
  </si>
  <si>
    <t>TXN0018</t>
  </si>
  <si>
    <t>TXN0019</t>
  </si>
  <si>
    <t>TXN0020</t>
  </si>
  <si>
    <t>TXN0021</t>
  </si>
  <si>
    <t>TXN0022</t>
  </si>
  <si>
    <t>Alfamart</t>
  </si>
  <si>
    <t>TXN0023</t>
  </si>
  <si>
    <t>TXN0024</t>
  </si>
  <si>
    <t>TXN0025</t>
  </si>
  <si>
    <t>TXN0026</t>
  </si>
  <si>
    <t>Shopee</t>
  </si>
  <si>
    <t>TXN0027</t>
  </si>
  <si>
    <t>TXN0028</t>
  </si>
  <si>
    <t>Salary</t>
  </si>
  <si>
    <t>Monthly Salary</t>
  </si>
  <si>
    <t>TXN0029</t>
  </si>
  <si>
    <t>Denpasar</t>
  </si>
  <si>
    <t>TXN0030</t>
  </si>
  <si>
    <t>TXN0031</t>
  </si>
  <si>
    <t>Electricity</t>
  </si>
  <si>
    <t>Bill</t>
  </si>
  <si>
    <t>TXN0033</t>
  </si>
  <si>
    <t>TXN0034</t>
  </si>
  <si>
    <t>TXN0035</t>
  </si>
  <si>
    <t>TXN0036</t>
  </si>
  <si>
    <t>Grocery</t>
  </si>
  <si>
    <t>Supermarket</t>
  </si>
  <si>
    <t>Makassar</t>
  </si>
  <si>
    <t>TXN0037</t>
  </si>
  <si>
    <t>TXN0038</t>
  </si>
  <si>
    <t>TXN0039</t>
  </si>
  <si>
    <t>TXN0040</t>
  </si>
  <si>
    <t>TXN0041</t>
  </si>
  <si>
    <t>Bibit</t>
  </si>
  <si>
    <t>TXN0042</t>
  </si>
  <si>
    <t>TXN0043</t>
  </si>
  <si>
    <t>TXN0044</t>
  </si>
  <si>
    <t>TXN0046</t>
  </si>
  <si>
    <t>TXN0047</t>
  </si>
  <si>
    <t>TXN0048</t>
  </si>
  <si>
    <t>TXN0049</t>
  </si>
  <si>
    <t>TXN0050</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</si>
  <si>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</si>
  <si>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</si>
  <si>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</si>
  <si>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</si>
  <si>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</si>
  <si>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</si>
  <si>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</si>
  <si>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</si>
  <si>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</si>
  <si>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</si>
  <si>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</si>
  <si>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</si>
  <si>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</si>
  <si>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</si>
  <si>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</si>
  <si>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</si>
  <si>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</si>
  <si>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</si>
  <si>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TXN0073</t>
  </si>
  <si>
    <t>TXN0074</t>
  </si>
  <si>
    <t>TXN0075</t>
  </si>
  <si>
    <t>TXN0076</t>
  </si>
  <si>
    <t>TXN0077</t>
  </si>
  <si>
    <t>TXN0078</t>
  </si>
  <si>
    <t>TXN0079</t>
  </si>
  <si>
    <t>TXN0080</t>
  </si>
  <si>
    <t>TXN0082</t>
  </si>
  <si>
    <t>TXN0083</t>
  </si>
  <si>
    <t>TXN0084</t>
  </si>
  <si>
    <t>TXN0085</t>
  </si>
  <si>
    <t>TXN0086</t>
  </si>
  <si>
    <t>TXN0087</t>
  </si>
  <si>
    <t>TXN0088</t>
  </si>
  <si>
    <t>TXN0089</t>
  </si>
  <si>
    <t>TXN0092</t>
  </si>
  <si>
    <t>TXN0093</t>
  </si>
  <si>
    <t>TXN0094</t>
  </si>
  <si>
    <t>TXN0095</t>
  </si>
  <si>
    <t>TXN0097</t>
  </si>
  <si>
    <t>TXN0098</t>
  </si>
  <si>
    <t>TXN0099</t>
  </si>
  <si>
    <t>TXN0100</t>
  </si>
  <si>
    <t>TXN0101</t>
  </si>
  <si>
    <t>TXN0102</t>
  </si>
  <si>
    <t>TXN0104</t>
  </si>
  <si>
    <t>TXN0105</t>
  </si>
  <si>
    <t>TXN0106</t>
  </si>
  <si>
    <t>TXN0107</t>
  </si>
  <si>
    <t>TXN0108</t>
  </si>
  <si>
    <t>TXN0109</t>
  </si>
  <si>
    <t>TXN0110</t>
  </si>
  <si>
    <t>TXN0111</t>
  </si>
  <si>
    <t>TXN0112</t>
  </si>
  <si>
    <t>TXN0113</t>
  </si>
  <si>
    <t>TXN0114</t>
  </si>
  <si>
    <t>TXN0115</t>
  </si>
  <si>
    <t>TXN0116</t>
  </si>
  <si>
    <t>TXN0117</t>
  </si>
  <si>
    <t>TXN0119</t>
  </si>
  <si>
    <t>TXN0120</t>
  </si>
  <si>
    <t>TXN0121</t>
  </si>
  <si>
    <t>TXN0122</t>
  </si>
  <si>
    <t>TXN0123</t>
  </si>
  <si>
    <t>TXN0124</t>
  </si>
  <si>
    <t>TXN0125</t>
  </si>
  <si>
    <t>TXN0126</t>
  </si>
  <si>
    <t>TXN0127</t>
  </si>
  <si>
    <t>TXN0128</t>
  </si>
  <si>
    <t>TXN0130</t>
  </si>
  <si>
    <t>TXN0131</t>
  </si>
  <si>
    <t>TXN0132</t>
  </si>
  <si>
    <t>TXN0133</t>
  </si>
  <si>
    <t>TXN0134</t>
  </si>
  <si>
    <t>TXN0135</t>
  </si>
  <si>
    <t>TXN0136</t>
  </si>
  <si>
    <t>TXN0137</t>
  </si>
  <si>
    <t>TXN0138</t>
  </si>
  <si>
    <t>TXN0139</t>
  </si>
  <si>
    <t>TXN0141</t>
  </si>
  <si>
    <t>TXN0142</t>
  </si>
  <si>
    <t>TXN0143</t>
  </si>
  <si>
    <t>TXN0144</t>
  </si>
  <si>
    <t>TXN0145</t>
  </si>
  <si>
    <t>TXN0147</t>
  </si>
  <si>
    <t>TXN0148</t>
  </si>
  <si>
    <t>TXN0150</t>
  </si>
  <si>
    <t>TXN0151</t>
  </si>
  <si>
    <t>TXN0152</t>
  </si>
  <si>
    <t>TXN0153</t>
  </si>
  <si>
    <t>TXN0154</t>
  </si>
  <si>
    <t>TXN0156</t>
  </si>
  <si>
    <t>TXN0157</t>
  </si>
  <si>
    <t>TXN0158</t>
  </si>
  <si>
    <t>TXN0160</t>
  </si>
  <si>
    <t>TXN0161</t>
  </si>
  <si>
    <t>TXN0162</t>
  </si>
  <si>
    <t>TXN0163</t>
  </si>
  <si>
    <t>TXN0164</t>
  </si>
  <si>
    <t>TXN0165</t>
  </si>
  <si>
    <t>TXN0166</t>
  </si>
  <si>
    <t>TXN0167</t>
  </si>
  <si>
    <t>TXN0168</t>
  </si>
  <si>
    <t>TXN0170</t>
  </si>
  <si>
    <t>TXN0171</t>
  </si>
  <si>
    <t>TXN0172</t>
  </si>
  <si>
    <t>TXN0175</t>
  </si>
  <si>
    <t>TXN0178</t>
  </si>
  <si>
    <t>TXN0179</t>
  </si>
  <si>
    <t>TXN0181</t>
  </si>
  <si>
    <t>TXN0183</t>
  </si>
  <si>
    <t>TXN0184</t>
  </si>
  <si>
    <t>TXN0185</t>
  </si>
  <si>
    <t>TXN0187</t>
  </si>
  <si>
    <t>TXN0188</t>
  </si>
  <si>
    <t>TXN0189</t>
  </si>
  <si>
    <t>TXN0190</t>
  </si>
  <si>
    <t>TXN0191</t>
  </si>
  <si>
    <t>TXN0192</t>
  </si>
  <si>
    <t>TXN0193</t>
  </si>
  <si>
    <t>TXN0194</t>
  </si>
  <si>
    <t>TXN0195</t>
  </si>
  <si>
    <t>TXN0196</t>
  </si>
  <si>
    <t>TXN0198</t>
  </si>
  <si>
    <t>TXN0199</t>
  </si>
  <si>
    <t>TXN0200</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</si>
  <si>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</si>
  <si>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</si>
  <si>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</si>
  <si>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</si>
  <si>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</si>
  <si>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</si>
  <si>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</si>
  <si>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</si>
  <si>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</si>
  <si>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</si>
  <si>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</si>
  <si>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</si>
  <si>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</si>
  <si>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</si>
  <si>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</si>
  <si>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</si>
  <si>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</si>
  <si>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</si>
  <si>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</si>
  <si>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</si>
  <si>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</si>
  <si>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</si>
  <si>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</si>
  <si>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</si>
  <si>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</si>
  <si>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</si>
  <si>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</si>
  <si>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</si>
  <si>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</si>
  <si>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</si>
  <si>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</si>
  <si>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</si>
  <si>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</si>
  <si>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</si>
  <si>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</si>
  <si>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</si>
  <si>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</si>
  <si>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</si>
  <si>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</si>
  <si>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</si>
  <si>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</si>
  <si>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</si>
  <si>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</si>
  <si>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</si>
  <si>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</si>
  <si>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</si>
  <si>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</si>
  <si>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</si>
  <si>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</si>
  <si>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</si>
  <si>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</si>
  <si>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</si>
  <si>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</si>
  <si>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</si>
  <si>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</si>
  <si>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</si>
  <si>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</si>
  <si>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</si>
  <si>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</si>
  <si>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</si>
  <si>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</si>
  <si>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</si>
  <si>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</si>
  <si>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TXN0267</t>
  </si>
  <si>
    <t>TXN0268</t>
  </si>
  <si>
    <t>TXN0269</t>
  </si>
  <si>
    <t>TXN0270</t>
  </si>
  <si>
    <t>TXN0271</t>
  </si>
  <si>
    <t>TXN0272</t>
  </si>
  <si>
    <t>TXN0273</t>
  </si>
  <si>
    <t>TXN0274</t>
  </si>
  <si>
    <t>TXN0275</t>
  </si>
  <si>
    <t>TXN0276</t>
  </si>
  <si>
    <t>TXN0277</t>
  </si>
  <si>
    <t>TXN0278</t>
  </si>
  <si>
    <t>TXN0279</t>
  </si>
  <si>
    <t>TXN0281</t>
  </si>
  <si>
    <t>TXN0282</t>
  </si>
  <si>
    <t>TXN0283</t>
  </si>
  <si>
    <t>TXN0284</t>
  </si>
  <si>
    <t>TXN0285</t>
  </si>
  <si>
    <t>TXN0286</t>
  </si>
  <si>
    <t>TXN0287</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</si>
  <si>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</si>
  <si>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</si>
  <si>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</si>
  <si>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</si>
  <si>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</si>
  <si>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</si>
  <si>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</si>
  <si>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</si>
  <si>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</si>
  <si>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</si>
  <si>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</si>
  <si>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</si>
  <si>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</si>
  <si>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</si>
  <si>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</si>
  <si>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</si>
  <si>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</si>
  <si>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</si>
  <si>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</si>
  <si>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</si>
  <si>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</si>
  <si>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</si>
  <si>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</si>
  <si>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</si>
  <si>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</si>
  <si>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</si>
  <si>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</si>
  <si>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</si>
  <si>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</si>
  <si>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</si>
  <si>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</si>
  <si>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</si>
  <si>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</si>
  <si>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</si>
  <si>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</si>
  <si>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</si>
  <si>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</si>
  <si>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TXN0330</t>
  </si>
  <si>
    <t>TXN0331</t>
  </si>
  <si>
    <t>TXN0332</t>
  </si>
  <si>
    <t>TXN0334</t>
  </si>
  <si>
    <t>TXN0336</t>
  </si>
  <si>
    <t>TXN0337</t>
  </si>
  <si>
    <t>TXN0338</t>
  </si>
  <si>
    <t>TXN0339</t>
  </si>
  <si>
    <t>TXN0340</t>
  </si>
  <si>
    <t>TXN0341</t>
  </si>
  <si>
    <t>TXN0342</t>
  </si>
  <si>
    <t>TXN0344</t>
  </si>
  <si>
    <t>TXN0345</t>
  </si>
  <si>
    <t>TXN0346</t>
  </si>
  <si>
    <t>TXN0347</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</si>
  <si>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</si>
  <si>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</si>
  <si>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</si>
  <si>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</si>
  <si>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</si>
  <si>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</si>
  <si>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</si>
  <si>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</si>
  <si>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</si>
  <si>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</si>
  <si>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</si>
  <si>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</si>
  <si>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</si>
  <si>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</si>
  <si>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</si>
  <si>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</si>
  <si>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</si>
  <si>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</si>
  <si>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</si>
  <si>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</si>
  <si>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</si>
  <si>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</si>
  <si>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</si>
  <si>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</si>
  <si>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</si>
  <si>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</si>
  <si>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</si>
  <si>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</si>
  <si>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</si>
  <si>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</si>
  <si>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</si>
  <si>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</si>
  <si>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</si>
  <si>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</si>
  <si>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</si>
  <si>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</si>
  <si>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</si>
  <si>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</si>
  <si>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</si>
  <si>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</si>
  <si>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</si>
  <si>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</si>
  <si>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</si>
  <si>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</si>
  <si>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</si>
  <si>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</si>
  <si>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</si>
  <si>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</si>
  <si>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</si>
  <si>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</si>
  <si>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</si>
  <si>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TXN0404</t>
  </si>
  <si>
    <t>TXN0405</t>
  </si>
  <si>
    <t>TXN0406</t>
  </si>
  <si>
    <t>TXN0407</t>
  </si>
  <si>
    <t>TXN0408</t>
  </si>
  <si>
    <t>TXN0409</t>
  </si>
  <si>
    <t>TXN0410</t>
  </si>
  <si>
    <t>TXN0411</t>
  </si>
  <si>
    <t>TXN0412</t>
  </si>
  <si>
    <t>TXN0413</t>
  </si>
  <si>
    <t>TXN0415</t>
  </si>
  <si>
    <t>TXN0417</t>
  </si>
  <si>
    <t>TXN0418</t>
  </si>
  <si>
    <t>TXN0419</t>
  </si>
  <si>
    <t>TXN0421</t>
  </si>
  <si>
    <t>TXN0422</t>
  </si>
  <si>
    <t>TXN0423</t>
  </si>
  <si>
    <t>TXN0424</t>
  </si>
  <si>
    <t>TXN0425</t>
  </si>
  <si>
    <t>TXN0426</t>
  </si>
  <si>
    <t>TXN0427</t>
  </si>
  <si>
    <t>TXN0428</t>
  </si>
  <si>
    <t>TXN0429</t>
  </si>
  <si>
    <t>TXN0430</t>
  </si>
  <si>
    <t>TXN0432</t>
  </si>
  <si>
    <t>TXN0433</t>
  </si>
  <si>
    <t>TXN0434</t>
  </si>
  <si>
    <t>TXN0435</t>
  </si>
  <si>
    <t>TXN0436</t>
  </si>
  <si>
    <t>TXN0437</t>
  </si>
  <si>
    <t>TXN0438</t>
  </si>
  <si>
    <t>TXN0439</t>
  </si>
  <si>
    <t>TXN0440</t>
  </si>
  <si>
    <t>TXN0441</t>
  </si>
  <si>
    <t>TXN0442</t>
  </si>
  <si>
    <t>TXN0443</t>
  </si>
  <si>
    <t>TXN0444</t>
  </si>
  <si>
    <t>TXN0445</t>
  </si>
  <si>
    <t>TXN0446</t>
  </si>
  <si>
    <t>TXN0447</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</si>
  <si>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</si>
  <si>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</si>
  <si>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</si>
  <si>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</si>
  <si>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</si>
  <si>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</si>
  <si>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</si>
  <si>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</si>
  <si>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</si>
  <si>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</si>
  <si>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</si>
  <si>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</si>
  <si>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</si>
  <si>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</si>
  <si>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</si>
  <si>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</si>
  <si>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</si>
  <si>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</si>
  <si>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</si>
  <si>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</si>
  <si>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</si>
  <si>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</si>
  <si>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</si>
  <si>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</si>
  <si>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</si>
  <si>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</si>
  <si>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</si>
  <si>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TXN0478</t>
  </si>
  <si>
    <t>TXN0479</t>
  </si>
  <si>
    <t>TXN0480</t>
  </si>
  <si>
    <t>TXN0481</t>
  </si>
  <si>
    <t>TXN0482</t>
  </si>
  <si>
    <t>TXN0483</t>
  </si>
  <si>
    <t>TXN0484</t>
  </si>
  <si>
    <t>TXN0486</t>
  </si>
  <si>
    <t>TXN0487</t>
  </si>
  <si>
    <t>TXN0490</t>
  </si>
  <si>
    <t>TXN0491</t>
  </si>
  <si>
    <t>TXN0493</t>
  </si>
  <si>
    <t>TXN0494</t>
  </si>
  <si>
    <t>TXN0495</t>
  </si>
  <si>
    <t>TXN0496</t>
  </si>
  <si>
    <t>TXN0497</t>
  </si>
  <si>
    <t>TXN0498</t>
  </si>
  <si>
    <t>TXN0499</t>
  </si>
  <si>
    <t>TXN0500</t>
  </si>
  <si>
    <t>Row Labels</t>
  </si>
  <si>
    <t>Grand Total</t>
  </si>
  <si>
    <t>Sum of Amount (Rp)</t>
  </si>
  <si>
    <t>Sum of Budget (Rp)</t>
  </si>
  <si>
    <t>Count of Transaction ID</t>
  </si>
  <si>
    <t>KPI Header</t>
  </si>
  <si>
    <t>Total Income</t>
  </si>
  <si>
    <t>Budget Utilization</t>
  </si>
  <si>
    <t>Current Balance</t>
  </si>
  <si>
    <t>Value</t>
  </si>
  <si>
    <t>KPI Section</t>
  </si>
  <si>
    <t>May</t>
  </si>
  <si>
    <t>Jan</t>
  </si>
  <si>
    <t>Apr</t>
  </si>
  <si>
    <t>Mar</t>
  </si>
  <si>
    <t>Feb</t>
  </si>
  <si>
    <t>Dec</t>
  </si>
  <si>
    <t>Nov</t>
  </si>
  <si>
    <t>Oct</t>
  </si>
  <si>
    <t>Sep</t>
  </si>
  <si>
    <t>Aug</t>
  </si>
  <si>
    <t>Jul</t>
  </si>
  <si>
    <t>Jun</t>
  </si>
  <si>
    <t>Details for Sum of Amount (Rp) - Transaction Type: Income</t>
  </si>
  <si>
    <t>Total Expenses</t>
  </si>
  <si>
    <t>Net Saving</t>
  </si>
  <si>
    <t>Saving Rate</t>
  </si>
  <si>
    <t>Monthly income vs Expenses</t>
  </si>
  <si>
    <t>Column Labels</t>
  </si>
  <si>
    <t>Expenses by Category</t>
  </si>
  <si>
    <t>Saving Goals By amount</t>
  </si>
  <si>
    <t>BSI</t>
  </si>
  <si>
    <t>BRI</t>
  </si>
  <si>
    <t>Mandiri</t>
  </si>
  <si>
    <t>CIMB Niaga</t>
  </si>
  <si>
    <t>BCA</t>
  </si>
  <si>
    <t>BNI</t>
  </si>
  <si>
    <t>Transaction by bank account</t>
  </si>
  <si>
    <t>Income by Category</t>
  </si>
  <si>
    <t>by account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</si>
</sst>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quot;Rp&quot;#,##0"/>
    <numFmt numFmtId="169" formatCode="\R\p#,###"/>
  </numFmts>
  <fonts count="4" x14ac:knownFonts="1">
    <font>
      <sz val="11"/>
      <color theme="1"/>
      <name val="Calibri"/>
      <family val="2"/>
      <charset val="1"/>
    </font>
    <font>
      <b/>
      <sz val="11"/>
      <color rgb="FFFFFFFF"/>
      <name val="Calibri"/>
      <family val="2"/>
      <charset val="1"/>
    </font>
    <font>
      <b/>
      <sz val="11"/>
      <color theme="1"/>
      <name val="Calibri"/>
      <family val="2"/>
      <charset val="1"/>
    </font>
    <font>
      <sz val="11"/>
      <color theme="1"/>
      <name val="Calibri"/>
      <family val="2"/>
    </font>
  </fonts>
  <fills count="6">
    <fill>
      <patternFill patternType="none"/>
    </fill>
    <fill>
      <patternFill patternType="gray125"/>
    </fill>
    <fill>
      <patternFill patternType="solid">
        <fgColor rgb="FF0A3C5A"/>
        <bgColor rgb="FF333333"/>
      </patternFill>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0" xfId="0" applyFont="1" applyFill="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0" fillId="3" borderId="0" xfId="0" applyFill="1" applyAlignment="1">
      <alignment horizontal="center"/>
    </xf>
    <xf numFmtId="14" fontId="0" fillId="0" borderId="0" xfId="0" applyNumberFormat="1"/>
    <xf numFmtId="0" fontId="2" fillId="0" borderId="0" xfId="0" applyFont="1"/>
    <xf numFmtId="169" fontId="0" fillId="0" borderId="1" xfId="0" applyNumberFormat="1" applyBorder="1"/>
    <xf numFmtId="9" fontId="0" fillId="0" borderId="1" xfId="0" applyNumberFormat="1" applyBorder="1"/>
    <xf numFmtId="0" fontId="0" fillId="0" borderId="1" xfId="0" applyFill="1" applyBorder="1"/>
    <xf numFmtId="0" fontId="0" fillId="4" borderId="1" xfId="0" applyFill="1" applyBorder="1"/>
    <xf numFmtId="0" fontId="0" fillId="5" borderId="0" xfId="0" applyFill="1"/>
    <xf numFmtId="169" fontId="3" fillId="0" borderId="1" xfId="0" applyNumberFormat="1" applyFont="1" applyBorder="1"/>
    <xf numFmtId="0" fontId="0" fillId="0" borderId="1" xfId="0" applyBorder="1" applyAlignment="1">
      <alignment horizontal="left"/>
    </xf>
  </cellXfs>
  <cellStyles count="1">
    <cellStyle name="Normal" xfId="0" builtinId="0"/>
  </cellStyles>
  <dxfs count="1">
    <dxf>
      <numFmt numFmtId="19" formatCode="m/d/yyyy"/>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A3C5A"/>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0020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[finance_saya.xlsx]Pivot!PivotTable2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Aptos Narrow" panose="020B0004020202020204" pitchFamily="34" charset="0"/>
              </a:rPr>
              <a:t>Pendapatan &amp; Pengeluaran Bulanan</a:t>
            </a:r>
          </a:p>
        </c:rich>
      </c:tx>
      <c:layout>
        <c:manualLayout>
          <c:xMode val="edge"/>
          <c:yMode val="edge"/>
          <c:x val="1.4191038114344743E-2"/>
          <c:y val="2.5019158371272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7813657956715"/>
          <c:y val="0.13256579771292809"/>
          <c:w val="0.83340992450494311"/>
          <c:h val="0.78451975458147505"/>
        </c:manualLayout>
      </c:layout>
      <c:lineChart>
        <c:grouping val="standard"/>
        <c:varyColors val="0"/>
        <c:ser>
          <c:idx val="0"/>
          <c:order val="0"/>
          <c:tx>
            <c:strRef>
              <c:f>Pivot!$I$13:$I$14</c:f>
              <c:strCache>
                <c:ptCount val="1"/>
                <c:pt idx="0">
                  <c:v>Expense</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f>Pivot!$H$15:$H$27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Pivot!$I$15:$I$27</c:f>
              <c:numCache>
                <c:formatCode>"Rp"#,##0</c:formatCode>
                <c:ptCount val="12"/>
                <c:pt idx="0">
                  <c:v>46094700</c:v>
                </c:pt>
                <c:pt idx="1">
                  <c:v>33640000</c:v>
                </c:pt>
                <c:pt idx="2">
                  <c:v>42650100</c:v>
                </c:pt>
                <c:pt idx="3">
                  <c:v>43439000</c:v>
                </c:pt>
                <c:pt idx="4">
                  <c:v>33713300</c:v>
                </c:pt>
                <c:pt idx="5">
                  <c:v>13841500</c:v>
                </c:pt>
                <c:pt idx="6">
                  <c:v>26143100</c:v>
                </c:pt>
                <c:pt idx="7">
                  <c:v>22277400</c:v>
                </c:pt>
                <c:pt idx="8">
                  <c:v>26325500</c:v>
                </c:pt>
                <c:pt idx="9">
                  <c:v>16393300</c:v>
                </c:pt>
                <c:pt idx="10">
                  <c:v>19456900</c:v>
                </c:pt>
                <c:pt idx="11">
                  <c:v>21199100</c:v>
                </c:pt>
              </c:numCache>
            </c:numRef>
          </c:val>
          <c:smooth val="0"/>
          <c:extLst>
            <c:ext xmlns:c16="http://schemas.microsoft.com/office/drawing/2014/chart" uri="{C3380CC4-5D6E-409C-BE32-E72D297353CC}">
              <c16:uniqueId val="{00000000-646F-424B-BA14-448EA5B6264D}"/>
            </c:ext>
          </c:extLst>
        </c:ser>
        <c:ser>
          <c:idx val="1"/>
          <c:order val="1"/>
          <c:tx>
            <c:strRef>
              <c:f>Pivot!$J$13:$J$14</c:f>
              <c:strCache>
                <c:ptCount val="1"/>
                <c:pt idx="0">
                  <c:v>Income</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Pivot!$H$15:$H$27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Pivot!$J$15:$J$27</c:f>
              <c:numCache>
                <c:formatCode>"Rp"#,##0</c:formatCode>
                <c:ptCount val="12"/>
                <c:pt idx="0">
                  <c:v>68465000</c:v>
                </c:pt>
                <c:pt idx="1">
                  <c:v>28373600</c:v>
                </c:pt>
                <c:pt idx="2">
                  <c:v>63172400</c:v>
                </c:pt>
                <c:pt idx="3">
                  <c:v>50715400</c:v>
                </c:pt>
                <c:pt idx="4">
                  <c:v>17618900</c:v>
                </c:pt>
                <c:pt idx="5">
                  <c:v>20329800</c:v>
                </c:pt>
                <c:pt idx="6">
                  <c:v>9743200</c:v>
                </c:pt>
                <c:pt idx="7">
                  <c:v>11764700</c:v>
                </c:pt>
                <c:pt idx="8">
                  <c:v>12983900</c:v>
                </c:pt>
                <c:pt idx="9">
                  <c:v>42985900</c:v>
                </c:pt>
                <c:pt idx="10">
                  <c:v>34014700</c:v>
                </c:pt>
                <c:pt idx="11">
                  <c:v>23396400</c:v>
                </c:pt>
              </c:numCache>
            </c:numRef>
          </c:val>
          <c:smooth val="0"/>
          <c:extLst>
            <c:ext xmlns:c16="http://schemas.microsoft.com/office/drawing/2014/chart" uri="{C3380CC4-5D6E-409C-BE32-E72D297353CC}">
              <c16:uniqueId val="{00000004-646F-424B-BA14-448EA5B6264D}"/>
            </c:ext>
          </c:extLst>
        </c:ser>
        <c:dLbls>
          <c:showLegendKey val="0"/>
          <c:showVal val="0"/>
          <c:showCatName val="0"/>
          <c:showSerName val="0"/>
          <c:showPercent val="0"/>
          <c:showBubbleSize val="0"/>
        </c:dLbls>
        <c:marker val="1"/>
        <c:smooth val="0"/>
        <c:axId val="1574172191"/>
        <c:axId val="1583471439"/>
      </c:lineChart>
      <c:catAx>
        <c:axId val="157417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583471439"/>
        <c:crosses val="autoZero"/>
        <c:auto val="1"/>
        <c:lblAlgn val="ctr"/>
        <c:lblOffset val="100"/>
        <c:noMultiLvlLbl val="0"/>
      </c:catAx>
      <c:valAx>
        <c:axId val="1583471439"/>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574172191"/>
        <c:crosses val="autoZero"/>
        <c:crossBetween val="between"/>
      </c:valAx>
      <c:spPr>
        <a:noFill/>
        <a:ln>
          <a:noFill/>
        </a:ln>
        <a:effectLst/>
      </c:spPr>
    </c:plotArea>
    <c:legend>
      <c:legendPos val="r"/>
      <c:layout>
        <c:manualLayout>
          <c:xMode val="edge"/>
          <c:yMode val="edge"/>
          <c:x val="0.71484730412192821"/>
          <c:y val="2.2401856089463275E-4"/>
          <c:w val="0.2612514598231685"/>
          <c:h val="0.1206289292954081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[finance_saya.xlsx]Pivot!PivotTable3</c:name>
    <c:fmtId val="13"/>
  </c:pivotSource>
  <c:chart>
    <c:title>
      <c:tx>
        <c:rich>
          <a:bodyPr rot="0" spcFirstLastPara="1" vertOverflow="ellipsis" vert="horz" wrap="square" anchor="ctr" anchorCtr="1"/>
          <a:lstStyle/>
          <a:p>
            <a:pPr algn="ctr" rtl="0">
              <a:defRPr lang="en-US" sz="1600" b="1" i="0" u="none" strike="noStrike" kern="1200" spc="0" baseline="0">
                <a:solidFill>
                  <a:srgbClr val="002060"/>
                </a:solidFill>
                <a:latin typeface="Aptos Narrow" panose="020B0004020202020204" pitchFamily="34" charset="0"/>
                <a:ea typeface="+mn-ea"/>
                <a:cs typeface="+mn-cs"/>
              </a:defRPr>
            </a:pPr>
            <a:r>
              <a:rPr lang="en-US" sz="1600" b="1" i="0" u="none" strike="noStrike" kern="1200" spc="0" baseline="0">
                <a:solidFill>
                  <a:srgbClr val="002060"/>
                </a:solidFill>
                <a:latin typeface="Aptos Narrow" panose="020B0004020202020204" pitchFamily="34" charset="0"/>
                <a:ea typeface="+mn-ea"/>
                <a:cs typeface="+mn-cs"/>
              </a:rPr>
              <a:t>Pengeluaran Berdasarkan Kategori</a:t>
            </a:r>
          </a:p>
        </c:rich>
      </c:tx>
      <c:layout>
        <c:manualLayout>
          <c:xMode val="edge"/>
          <c:yMode val="edge"/>
          <c:x val="4.3065498015388018E-2"/>
          <c:y val="2.1581731319340516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2060"/>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5.2560854320815212E-2"/>
          <c:y val="0.17663542508080404"/>
          <c:w val="0.66321606727375493"/>
          <c:h val="0.7261856074209434"/>
        </c:manualLayout>
      </c:layout>
      <c:doughnutChart>
        <c:varyColors val="1"/>
        <c:ser>
          <c:idx val="0"/>
          <c:order val="0"/>
          <c:tx>
            <c:strRef>
              <c:f>Pivot!$O$13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9C-43AC-A8D8-7BFC9972B8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9C-43AC-A8D8-7BFC9972B8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9C-43AC-A8D8-7BFC9972B8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9C-43AC-A8D8-7BFC9972B8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9C-43AC-A8D8-7BFC9972B83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9C-43AC-A8D8-7BFC9972B83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F9C-43AC-A8D8-7BFC9972B83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F9C-43AC-A8D8-7BFC9972B8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Pivot!$N$14:$N$22</c:f>
              <c:strCache>
                <c:ptCount val="8"/>
                <c:pt idx="0">
                  <c:v>Dining</c:v>
                </c:pt>
                <c:pt idx="1">
                  <c:v>Electricity</c:v>
                </c:pt>
                <c:pt idx="2">
                  <c:v>Fuel</c:v>
                </c:pt>
                <c:pt idx="3">
                  <c:v>Grocery</c:v>
                </c:pt>
                <c:pt idx="4">
                  <c:v>Healthcare</c:v>
                </c:pt>
                <c:pt idx="5">
                  <c:v>Internet</c:v>
                </c:pt>
                <c:pt idx="6">
                  <c:v>Rent</c:v>
                </c:pt>
                <c:pt idx="7">
                  <c:v>Shopping</c:v>
                </c:pt>
              </c:strCache>
            </c:strRef>
          </c:cat>
          <c:val>
            <c:numRef>
              <c:f>Pivot!$O$14:$O$22</c:f>
              <c:numCache>
                <c:formatCode>"Rp"#,##0</c:formatCode>
                <c:ptCount val="8"/>
                <c:pt idx="0">
                  <c:v>43250800</c:v>
                </c:pt>
                <c:pt idx="1">
                  <c:v>44900800</c:v>
                </c:pt>
                <c:pt idx="2">
                  <c:v>42931800</c:v>
                </c:pt>
                <c:pt idx="3">
                  <c:v>41759800</c:v>
                </c:pt>
                <c:pt idx="4">
                  <c:v>46655300</c:v>
                </c:pt>
                <c:pt idx="5">
                  <c:v>42093400</c:v>
                </c:pt>
                <c:pt idx="6">
                  <c:v>36716400</c:v>
                </c:pt>
                <c:pt idx="7">
                  <c:v>46865600</c:v>
                </c:pt>
              </c:numCache>
            </c:numRef>
          </c:val>
          <c:extLst>
            <c:ext xmlns:c16="http://schemas.microsoft.com/office/drawing/2014/chart" uri="{C3380CC4-5D6E-409C-BE32-E72D297353CC}">
              <c16:uniqueId val="{00000010-4F9C-43AC-A8D8-7BFC9972B833}"/>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3877229535992672"/>
          <c:y val="0.20236611679511857"/>
          <c:w val="0.24480243766481849"/>
          <c:h val="0.589998085400213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[finance_saya.xlsx]Pivot!PivotTable4</c:name>
    <c:fmtId val="20"/>
  </c:pivotSource>
  <c:chart>
    <c:title>
      <c:tx>
        <c:rich>
          <a:bodyPr rot="0" spcFirstLastPara="1" vertOverflow="ellipsis" vert="horz" wrap="square" anchor="ctr" anchorCtr="1"/>
          <a:lstStyle/>
          <a:p>
            <a:pPr algn="ctr" rtl="0">
              <a:defRPr lang="en-US" sz="1600" b="1" i="0" u="none" strike="noStrike" kern="1200" spc="0" baseline="0">
                <a:solidFill>
                  <a:srgbClr val="002060"/>
                </a:solidFill>
                <a:latin typeface="Aptos Narrow" panose="020B0004020202020204" pitchFamily="34" charset="0"/>
                <a:ea typeface="+mn-ea"/>
                <a:cs typeface="+mn-cs"/>
              </a:defRPr>
            </a:pPr>
            <a:r>
              <a:rPr lang="en-US" sz="1500" b="1" i="0" u="none" strike="noStrike" kern="1200" spc="0" baseline="0">
                <a:solidFill>
                  <a:srgbClr val="002060"/>
                </a:solidFill>
                <a:latin typeface="Aptos Narrow" panose="020B0004020202020204" pitchFamily="34" charset="0"/>
                <a:ea typeface="+mn-ea"/>
                <a:cs typeface="+mn-cs"/>
              </a:rPr>
              <a:t>Target tabungan berdasarkan jumlah</a:t>
            </a:r>
          </a:p>
        </c:rich>
      </c:tx>
      <c:layout>
        <c:manualLayout>
          <c:xMode val="edge"/>
          <c:yMode val="edge"/>
          <c:x val="2.982775936117053E-2"/>
          <c:y val="2.1329795605065861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2060"/>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chemeClr val="accent6"/>
          </a:solidFill>
          <a:ln>
            <a:noFill/>
          </a:ln>
          <a:effectLst/>
        </c:spPr>
      </c:pivotFmt>
      <c:pivotFmt>
        <c:idx val="5"/>
        <c:spPr>
          <a:solidFill>
            <a:srgbClr val="FF0000"/>
          </a:solidFill>
          <a:ln>
            <a:noFill/>
          </a:ln>
          <a:effectLst/>
        </c:spPr>
      </c:pivotFmt>
    </c:pivotFmts>
    <c:plotArea>
      <c:layout>
        <c:manualLayout>
          <c:layoutTarget val="inner"/>
          <c:xMode val="edge"/>
          <c:yMode val="edge"/>
          <c:x val="0.25561669956938848"/>
          <c:y val="0.12166070699934285"/>
          <c:w val="0.60812478776858814"/>
          <c:h val="0.74058540382189841"/>
        </c:manualLayout>
      </c:layout>
      <c:barChart>
        <c:barDir val="col"/>
        <c:grouping val="clustered"/>
        <c:varyColors val="0"/>
        <c:ser>
          <c:idx val="0"/>
          <c:order val="0"/>
          <c:tx>
            <c:strRef>
              <c:f>Pivot!$O$29</c:f>
              <c:strCache>
                <c:ptCount val="1"/>
                <c:pt idx="0">
                  <c:v>Total</c:v>
                </c:pt>
              </c:strCache>
            </c:strRef>
          </c:tx>
          <c:spPr>
            <a:solidFill>
              <a:srgbClr val="FFFF00"/>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2-173F-4D74-A772-842ED519E589}"/>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3-173F-4D74-A772-842ED519E589}"/>
              </c:ext>
            </c:extLst>
          </c:dPt>
          <c:dPt>
            <c:idx val="3"/>
            <c:invertIfNegative val="0"/>
            <c:bubble3D val="0"/>
            <c:spPr>
              <a:solidFill>
                <a:srgbClr val="FF0000"/>
              </a:solidFill>
              <a:ln>
                <a:noFill/>
              </a:ln>
              <a:effectLst/>
            </c:spPr>
            <c:extLst>
              <c:ext xmlns:c16="http://schemas.microsoft.com/office/drawing/2014/chart" uri="{C3380CC4-5D6E-409C-BE32-E72D297353CC}">
                <c16:uniqueId val="{00000004-173F-4D74-A772-842ED519E589}"/>
              </c:ext>
            </c:extLst>
          </c:dPt>
          <c:cat>
            <c:strRef>
              <c:f>Pivot!$N$30:$N$34</c:f>
              <c:strCache>
                <c:ptCount val="4"/>
                <c:pt idx="0">
                  <c:v>Car</c:v>
                </c:pt>
                <c:pt idx="1">
                  <c:v>Emergency Fund</c:v>
                </c:pt>
                <c:pt idx="2">
                  <c:v>Investment</c:v>
                </c:pt>
                <c:pt idx="3">
                  <c:v>Vacation</c:v>
                </c:pt>
              </c:strCache>
            </c:strRef>
          </c:cat>
          <c:val>
            <c:numRef>
              <c:f>Pivot!$O$30:$O$34</c:f>
              <c:numCache>
                <c:formatCode>"Rp"#,##0</c:formatCode>
                <c:ptCount val="4"/>
                <c:pt idx="0">
                  <c:v>196787500</c:v>
                </c:pt>
                <c:pt idx="1">
                  <c:v>133144500</c:v>
                </c:pt>
                <c:pt idx="2">
                  <c:v>193681600</c:v>
                </c:pt>
                <c:pt idx="3">
                  <c:v>205124200</c:v>
                </c:pt>
              </c:numCache>
            </c:numRef>
          </c:val>
          <c:extLst>
            <c:ext xmlns:c16="http://schemas.microsoft.com/office/drawing/2014/chart" uri="{C3380CC4-5D6E-409C-BE32-E72D297353CC}">
              <c16:uniqueId val="{00000000-173F-4D74-A772-842ED519E589}"/>
            </c:ext>
          </c:extLst>
        </c:ser>
        <c:dLbls>
          <c:showLegendKey val="0"/>
          <c:showVal val="0"/>
          <c:showCatName val="0"/>
          <c:showSerName val="0"/>
          <c:showPercent val="0"/>
          <c:showBubbleSize val="0"/>
        </c:dLbls>
        <c:gapWidth val="219"/>
        <c:overlap val="-27"/>
        <c:axId val="2066113999"/>
        <c:axId val="1313416751"/>
      </c:barChart>
      <c:catAx>
        <c:axId val="206611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1313416751"/>
        <c:crosses val="autoZero"/>
        <c:auto val="1"/>
        <c:lblAlgn val="ctr"/>
        <c:lblOffset val="100"/>
        <c:noMultiLvlLbl val="0"/>
      </c:catAx>
      <c:valAx>
        <c:axId val="1313416751"/>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206611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[finance_saya.xlsx]Pivot!PivotTable8</c:name>
    <c:fmtId val="28"/>
  </c:pivotSource>
  <c:chart>
    <c:title>
      <c:tx>
        <c:rich>
          <a:bodyPr rot="0" spcFirstLastPara="1" vertOverflow="ellipsis" vert="horz" wrap="square" anchor="ctr" anchorCtr="1"/>
          <a:lstStyle/>
          <a:p>
            <a:pPr algn="ctr" rtl="0">
              <a:defRPr lang="en-US" sz="1400" b="1" i="0" u="none" strike="noStrike" kern="1200" spc="0" baseline="0">
                <a:solidFill>
                  <a:srgbClr val="002060"/>
                </a:solidFill>
                <a:latin typeface="Aptos Narrow" panose="020B0004020202020204" pitchFamily="34" charset="0"/>
                <a:ea typeface="+mn-ea"/>
                <a:cs typeface="+mn-cs"/>
              </a:defRPr>
            </a:pPr>
            <a:r>
              <a:rPr lang="en-US" sz="1400" b="1" i="0" u="none" strike="noStrike" kern="1200" spc="0" baseline="0">
                <a:solidFill>
                  <a:srgbClr val="002060"/>
                </a:solidFill>
                <a:latin typeface="Aptos Narrow" panose="020B0004020202020204" pitchFamily="34" charset="0"/>
                <a:ea typeface="+mn-ea"/>
                <a:cs typeface="+mn-cs"/>
              </a:rPr>
              <a:t>Kategori Pendapatan</a:t>
            </a:r>
          </a:p>
        </c:rich>
      </c:tx>
      <c:layout>
        <c:manualLayout>
          <c:xMode val="edge"/>
          <c:yMode val="edge"/>
          <c:x val="2.768356883144811E-2"/>
          <c:y val="2.235808557278510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2060"/>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50"/>
              </a:gs>
              <a:gs pos="97000">
                <a:srgbClr val="92D050"/>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B050"/>
              </a:gs>
              <a:gs pos="97000">
                <a:srgbClr val="92D050"/>
              </a:gs>
            </a:gsLst>
            <a:path path="circle">
              <a:fillToRect l="100000" t="100000"/>
            </a:path>
            <a:tileRect r="-100000" b="-100000"/>
          </a:gradFill>
          <a:ln>
            <a:noFill/>
          </a:ln>
          <a:effectLst/>
        </c:spPr>
        <c:dLbl>
          <c:idx val="0"/>
          <c:layout>
            <c:manualLayout>
              <c:x val="-1.0698418453164033E-16"/>
              <c:y val="-0.294547531910885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B050"/>
              </a:gs>
              <a:gs pos="97000">
                <a:srgbClr val="92D050"/>
              </a:gs>
            </a:gsLst>
            <a:path path="circle">
              <a:fillToRect l="100000" t="100000"/>
            </a:path>
            <a:tileRect r="-100000" b="-100000"/>
          </a:gradFill>
          <a:ln>
            <a:noFill/>
          </a:ln>
          <a:effectLst/>
        </c:spPr>
        <c:dLbl>
          <c:idx val="0"/>
          <c:layout>
            <c:manualLayout>
              <c:x val="2.9177841933291644E-3"/>
              <c:y val="-0.257651409278253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00B050"/>
              </a:gs>
              <a:gs pos="97000">
                <a:srgbClr val="92D050"/>
              </a:gs>
            </a:gsLst>
            <a:path path="circle">
              <a:fillToRect l="100000" t="100000"/>
            </a:path>
            <a:tileRect r="-100000" b="-100000"/>
          </a:gradFill>
          <a:ln>
            <a:noFill/>
          </a:ln>
          <a:effectLst/>
        </c:spPr>
        <c:dLbl>
          <c:idx val="0"/>
          <c:layout>
            <c:manualLayout>
              <c:x val="-2.9177841933292177E-3"/>
              <c:y val="-0.350382009311174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00B050"/>
              </a:gs>
              <a:gs pos="97000">
                <a:srgbClr val="92D050"/>
              </a:gs>
            </a:gsLst>
            <a:path path="circle">
              <a:fillToRect l="100000" t="100000"/>
            </a:path>
            <a:tileRect r="-100000" b="-100000"/>
          </a:gradFill>
          <a:ln>
            <a:noFill/>
          </a:ln>
          <a:effectLst/>
        </c:spPr>
        <c:dLbl>
          <c:idx val="0"/>
          <c:layout>
            <c:manualLayout>
              <c:x val="2.9177841933291644E-3"/>
              <c:y val="-0.258698307563341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Pivot!$P$40</c:f>
              <c:strCache>
                <c:ptCount val="1"/>
                <c:pt idx="0">
                  <c:v>Total</c:v>
                </c:pt>
              </c:strCache>
            </c:strRef>
          </c:tx>
          <c:spPr>
            <a:gradFill flip="none" rotWithShape="1">
              <a:gsLst>
                <a:gs pos="0">
                  <a:srgbClr val="00B050"/>
                </a:gs>
                <a:gs pos="97000">
                  <a:srgbClr val="92D050"/>
                </a:gs>
              </a:gsLst>
              <a:path path="circle">
                <a:fillToRect l="100000" t="100000"/>
              </a:path>
              <a:tileRect r="-100000" b="-100000"/>
            </a:gradFill>
            <a:ln>
              <a:noFill/>
            </a:ln>
            <a:effectLst/>
          </c:spPr>
          <c:invertIfNegative val="0"/>
          <c:dLbls>
            <c:dLbl>
              <c:idx val="0"/>
              <c:layout>
                <c:manualLayout>
                  <c:x val="2.9177841933291644E-3"/>
                  <c:y val="-0.2586983075633413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A9-4CC6-8CE2-52B198C15C1E}"/>
                </c:ext>
              </c:extLst>
            </c:dLbl>
            <c:dLbl>
              <c:idx val="1"/>
              <c:layout>
                <c:manualLayout>
                  <c:x val="-2.9177841933292177E-3"/>
                  <c:y val="-0.350382009311174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A9-4CC6-8CE2-52B198C15C1E}"/>
                </c:ext>
              </c:extLst>
            </c:dLbl>
            <c:dLbl>
              <c:idx val="2"/>
              <c:layout>
                <c:manualLayout>
                  <c:x val="2.9177841933291644E-3"/>
                  <c:y val="-0.257651409278253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A9-4CC6-8CE2-52B198C15C1E}"/>
                </c:ext>
              </c:extLst>
            </c:dLbl>
            <c:dLbl>
              <c:idx val="3"/>
              <c:layout>
                <c:manualLayout>
                  <c:x val="-1.0698418453164033E-16"/>
                  <c:y val="-0.294547531910885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A9-4CC6-8CE2-52B198C15C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Pivot!$O$41:$O$45</c:f>
              <c:strCache>
                <c:ptCount val="4"/>
                <c:pt idx="0">
                  <c:v>Bonus</c:v>
                </c:pt>
                <c:pt idx="1">
                  <c:v>Freelancing</c:v>
                </c:pt>
                <c:pt idx="2">
                  <c:v>Interest</c:v>
                </c:pt>
                <c:pt idx="3">
                  <c:v>Salary</c:v>
                </c:pt>
              </c:strCache>
            </c:strRef>
          </c:cat>
          <c:val>
            <c:numRef>
              <c:f>Pivot!$P$41:$P$45</c:f>
              <c:numCache>
                <c:formatCode>"Rp"#,##0</c:formatCode>
                <c:ptCount val="4"/>
                <c:pt idx="0">
                  <c:v>83355800</c:v>
                </c:pt>
                <c:pt idx="1">
                  <c:v>116749100</c:v>
                </c:pt>
                <c:pt idx="2">
                  <c:v>85688900</c:v>
                </c:pt>
                <c:pt idx="3">
                  <c:v>97770100</c:v>
                </c:pt>
              </c:numCache>
            </c:numRef>
          </c:val>
          <c:extLst>
            <c:ext xmlns:c16="http://schemas.microsoft.com/office/drawing/2014/chart" uri="{C3380CC4-5D6E-409C-BE32-E72D297353CC}">
              <c16:uniqueId val="{00000000-98A9-4CC6-8CE2-52B198C15C1E}"/>
            </c:ext>
          </c:extLst>
        </c:ser>
        <c:dLbls>
          <c:dLblPos val="ctr"/>
          <c:showLegendKey val="0"/>
          <c:showVal val="1"/>
          <c:showCatName val="0"/>
          <c:showSerName val="0"/>
          <c:showPercent val="0"/>
          <c:showBubbleSize val="0"/>
        </c:dLbls>
        <c:gapWidth val="150"/>
        <c:overlap val="100"/>
        <c:axId val="2135357999"/>
        <c:axId val="1313470991"/>
      </c:barChart>
      <c:catAx>
        <c:axId val="213535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ptos Narrow" panose="020B0004020202020204" pitchFamily="34" charset="0"/>
                <a:ea typeface="+mn-ea"/>
                <a:cs typeface="+mn-cs"/>
              </a:defRPr>
            </a:pPr>
            <a:endParaRPr lang="en-US"/>
          </a:p>
        </c:txPr>
        <c:crossAx val="1313470991"/>
        <c:crosses val="autoZero"/>
        <c:auto val="1"/>
        <c:lblAlgn val="ctr"/>
        <c:lblOffset val="100"/>
        <c:noMultiLvlLbl val="0"/>
      </c:catAx>
      <c:valAx>
        <c:axId val="1313470991"/>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213535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[finance_saya.xlsx]Pivot!PivotTable9</c:name>
    <c:fmtId val="36"/>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Aptos Narrow" panose="020B0004020202020204" pitchFamily="34" charset="0"/>
                <a:ea typeface="+mn-ea"/>
                <a:cs typeface="+mn-cs"/>
              </a:defRPr>
            </a:pPr>
            <a:r>
              <a:rPr lang="en-US" sz="1800" b="1" i="0" u="none" strike="noStrike" kern="1200" spc="0" baseline="0">
                <a:solidFill>
                  <a:schemeClr val="tx1"/>
                </a:solidFill>
                <a:latin typeface="Aptos Narrow" panose="020B0004020202020204" pitchFamily="34" charset="0"/>
                <a:ea typeface="+mn-ea"/>
                <a:cs typeface="+mn-cs"/>
              </a:rPr>
              <a:t>Akun</a:t>
            </a:r>
            <a:endParaRPr lang="en-US" sz="1400" b="1" i="0" u="none" strike="noStrike" kern="1200" spc="0" baseline="0">
              <a:solidFill>
                <a:schemeClr val="tx1"/>
              </a:solidFill>
              <a:latin typeface="Aptos Narrow" panose="020B0004020202020204" pitchFamily="34" charset="0"/>
              <a:ea typeface="+mn-ea"/>
              <a:cs typeface="+mn-cs"/>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3"/>
          </a:solidFill>
          <a:ln w="19050">
            <a:solidFill>
              <a:schemeClr val="lt1"/>
            </a:solidFill>
          </a:ln>
          <a:effectLst/>
        </c:spPr>
      </c:pivotFmt>
    </c:pivotFmts>
    <c:plotArea>
      <c:layout/>
      <c:pieChart>
        <c:varyColors val="1"/>
        <c:ser>
          <c:idx val="0"/>
          <c:order val="0"/>
          <c:tx>
            <c:strRef>
              <c:f>Pivot!$X$40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AB05-4E48-B778-0CC04E7287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AB05-4E48-B778-0CC04E7287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AB05-4E48-B778-0CC04E72874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ptos Narrow" panose="020B0004020202020204" pitchFamily="34"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Pivot!$W$41:$W$44</c:f>
              <c:strCache>
                <c:ptCount val="3"/>
                <c:pt idx="0">
                  <c:v>Credit Card</c:v>
                </c:pt>
                <c:pt idx="1">
                  <c:v>Savings</c:v>
                </c:pt>
                <c:pt idx="2">
                  <c:v>Wallet</c:v>
                </c:pt>
              </c:strCache>
            </c:strRef>
          </c:cat>
          <c:val>
            <c:numRef>
              <c:f>Pivot!$X$41:$X$44</c:f>
              <c:numCache>
                <c:formatCode>"Rp"#,##0</c:formatCode>
                <c:ptCount val="3"/>
                <c:pt idx="0">
                  <c:v>233345400</c:v>
                </c:pt>
                <c:pt idx="1">
                  <c:v>283316300</c:v>
                </c:pt>
                <c:pt idx="2">
                  <c:v>212076100</c:v>
                </c:pt>
              </c:numCache>
            </c:numRef>
          </c:val>
          <c:extLst>
            <c:ext xmlns:c16="http://schemas.microsoft.com/office/drawing/2014/chart" uri="{C3380CC4-5D6E-409C-BE32-E72D297353CC}">
              <c16:uniqueId val="{0000000E-AB05-4E48-B778-0CC04E72874D}"/>
            </c:ext>
          </c:extLst>
        </c:ser>
        <c:dLbls>
          <c:showLegendKey val="0"/>
          <c:showVal val="0"/>
          <c:showCatName val="0"/>
          <c:showSerName val="0"/>
          <c:showPercent val="0"/>
          <c:showBubbleSize val="0"/>
          <c:showLeaderLines val="1"/>
        </c:dLbls>
        <c:firstSliceAng val="0"/>
      </c:pieChart>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ptos Narrow" panose="020B0004020202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[finance_saya.xlsx]Pivot!PivotTable12</c:name>
    <c:fmtId val="32"/>
  </c:pivotSource>
  <c:chart>
    <c:title>
      <c:tx>
        <c:rich>
          <a:bodyPr rot="0" spcFirstLastPara="1" vertOverflow="ellipsis" vert="horz" wrap="square" anchor="ctr" anchorCtr="1"/>
          <a:lstStyle/>
          <a:p>
            <a:pPr>
              <a:defRPr lang="en-US" sz="1400" b="1" i="0" u="none" strike="noStrike" kern="1200" spc="0" baseline="0">
                <a:solidFill>
                  <a:schemeClr val="tx1"/>
                </a:solidFill>
                <a:latin typeface="Aptos Narrow" panose="020B0004020202020204" pitchFamily="34" charset="0"/>
                <a:ea typeface="+mn-ea"/>
                <a:cs typeface="+mn-cs"/>
              </a:defRPr>
            </a:pPr>
            <a:r>
              <a:rPr lang="en-US" sz="1400" b="1" i="0" u="none" strike="noStrike" kern="1200" spc="0" baseline="0">
                <a:solidFill>
                  <a:schemeClr val="tx1"/>
                </a:solidFill>
                <a:latin typeface="Aptos Narrow" panose="020B0004020202020204" pitchFamily="34" charset="0"/>
                <a:ea typeface="+mn-ea"/>
                <a:cs typeface="+mn-cs"/>
              </a:rPr>
              <a:t>Anggaran vs Aktual</a:t>
            </a:r>
          </a:p>
        </c:rich>
      </c:tx>
      <c:layout>
        <c:manualLayout>
          <c:xMode val="edge"/>
          <c:yMode val="edge"/>
          <c:x val="3.7459673003350964E-2"/>
          <c:y val="2.6837290248765681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B0F0"/>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090325742405249"/>
          <c:y val="0.14699831399025828"/>
          <c:w val="0.80060603427899235"/>
          <c:h val="0.66418429278910085"/>
        </c:manualLayout>
      </c:layout>
      <c:barChart>
        <c:barDir val="col"/>
        <c:grouping val="clustered"/>
        <c:varyColors val="0"/>
        <c:ser>
          <c:idx val="0"/>
          <c:order val="0"/>
          <c:tx>
            <c:strRef>
              <c:f>Pivot!$P$51</c:f>
              <c:strCache>
                <c:ptCount val="1"/>
                <c:pt idx="0">
                  <c:v>Sum of Amount (Rp)</c:v>
                </c:pt>
              </c:strCache>
            </c:strRef>
          </c:tx>
          <c:spPr>
            <a:solidFill>
              <a:srgbClr val="FF0000"/>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Pivot!$O$52:$O$60</c:f>
              <c:strCache>
                <c:ptCount val="8"/>
                <c:pt idx="0">
                  <c:v>Dining</c:v>
                </c:pt>
                <c:pt idx="1">
                  <c:v>Electricity</c:v>
                </c:pt>
                <c:pt idx="2">
                  <c:v>Fuel</c:v>
                </c:pt>
                <c:pt idx="3">
                  <c:v>Grocery</c:v>
                </c:pt>
                <c:pt idx="4">
                  <c:v>Healthcare</c:v>
                </c:pt>
                <c:pt idx="5">
                  <c:v>Internet</c:v>
                </c:pt>
                <c:pt idx="6">
                  <c:v>Rent</c:v>
                </c:pt>
                <c:pt idx="7">
                  <c:v>Shopping</c:v>
                </c:pt>
              </c:strCache>
            </c:strRef>
          </c:cat>
          <c:val>
            <c:numRef>
              <c:f>Pivot!$P$52:$P$60</c:f>
              <c:numCache>
                <c:formatCode>"Rp"#,##0</c:formatCode>
                <c:ptCount val="8"/>
                <c:pt idx="0">
                  <c:v>43250800</c:v>
                </c:pt>
                <c:pt idx="1">
                  <c:v>44900800</c:v>
                </c:pt>
                <c:pt idx="2">
                  <c:v>42931800</c:v>
                </c:pt>
                <c:pt idx="3">
                  <c:v>41759800</c:v>
                </c:pt>
                <c:pt idx="4">
                  <c:v>46655300</c:v>
                </c:pt>
                <c:pt idx="5">
                  <c:v>42093400</c:v>
                </c:pt>
                <c:pt idx="6">
                  <c:v>36716400</c:v>
                </c:pt>
                <c:pt idx="7">
                  <c:v>46865600</c:v>
                </c:pt>
              </c:numCache>
            </c:numRef>
          </c:val>
          <c:extLst>
            <c:ext xmlns:c16="http://schemas.microsoft.com/office/drawing/2014/chart" uri="{C3380CC4-5D6E-409C-BE32-E72D297353CC}">
              <c16:uniqueId val="{00000000-51F6-40B0-8398-0FD2F3E1DE40}"/>
            </c:ext>
          </c:extLst>
        </c:ser>
        <c:ser>
          <c:idx val="1"/>
          <c:order val="1"/>
          <c:tx>
            <c:strRef>
              <c:f>Pivot!$Q$51</c:f>
              <c:strCache>
                <c:ptCount val="1"/>
                <c:pt idx="0">
                  <c:v>Sum of Budget (Rp)</c:v>
                </c:pt>
              </c:strCache>
            </c:strRef>
          </c:tx>
          <c:spPr>
            <a:solidFill>
              <a:srgbClr val="00B0F0"/>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Pivot!$O$52:$O$60</c:f>
              <c:strCache>
                <c:ptCount val="8"/>
                <c:pt idx="0">
                  <c:v>Dining</c:v>
                </c:pt>
                <c:pt idx="1">
                  <c:v>Electricity</c:v>
                </c:pt>
                <c:pt idx="2">
                  <c:v>Fuel</c:v>
                </c:pt>
                <c:pt idx="3">
                  <c:v>Grocery</c:v>
                </c:pt>
                <c:pt idx="4">
                  <c:v>Healthcare</c:v>
                </c:pt>
                <c:pt idx="5">
                  <c:v>Internet</c:v>
                </c:pt>
                <c:pt idx="6">
                  <c:v>Rent</c:v>
                </c:pt>
                <c:pt idx="7">
                  <c:v>Shopping</c:v>
                </c:pt>
              </c:strCache>
            </c:strRef>
          </c:cat>
          <c:val>
            <c:numRef>
              <c:f>Pivot!$Q$52:$Q$60</c:f>
              <c:numCache>
                <c:formatCode>"Rp"#,##0</c:formatCode>
                <c:ptCount val="8"/>
                <c:pt idx="0">
                  <c:v>47693900</c:v>
                </c:pt>
                <c:pt idx="1">
                  <c:v>46171200</c:v>
                </c:pt>
                <c:pt idx="2">
                  <c:v>44915300</c:v>
                </c:pt>
                <c:pt idx="3">
                  <c:v>43157700</c:v>
                </c:pt>
                <c:pt idx="4">
                  <c:v>51093200</c:v>
                </c:pt>
                <c:pt idx="5">
                  <c:v>47635000</c:v>
                </c:pt>
                <c:pt idx="6">
                  <c:v>33427300</c:v>
                </c:pt>
                <c:pt idx="7">
                  <c:v>55088300</c:v>
                </c:pt>
              </c:numCache>
            </c:numRef>
          </c:val>
          <c:extLst>
            <c:ext xmlns:c16="http://schemas.microsoft.com/office/drawing/2014/chart" uri="{C3380CC4-5D6E-409C-BE32-E72D297353CC}">
              <c16:uniqueId val="{00000001-51F6-40B0-8398-0FD2F3E1DE40}"/>
            </c:ext>
          </c:extLst>
        </c:ser>
        <c:dLbls>
          <c:showLegendKey val="0"/>
          <c:showVal val="0"/>
          <c:showCatName val="0"/>
          <c:showSerName val="0"/>
          <c:showPercent val="0"/>
          <c:showBubbleSize val="0"/>
        </c:dLbls>
        <c:gapWidth val="50"/>
        <c:overlap val="-27"/>
        <c:axId val="1750570223"/>
        <c:axId val="1583467599"/>
      </c:barChart>
      <c:catAx>
        <c:axId val="175057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1583467599"/>
        <c:crosses val="autoZero"/>
        <c:auto val="1"/>
        <c:lblAlgn val="ctr"/>
        <c:lblOffset val="100"/>
        <c:noMultiLvlLbl val="0"/>
      </c:catAx>
      <c:valAx>
        <c:axId val="1583467599"/>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1750570223"/>
        <c:crosses val="autoZero"/>
        <c:crossBetween val="between"/>
      </c:valAx>
      <c:spPr>
        <a:noFill/>
        <a:ln>
          <a:noFill/>
        </a:ln>
        <a:effectLst/>
      </c:spPr>
    </c:plotArea>
    <c:legend>
      <c:legendPos val="t"/>
      <c:layout>
        <c:manualLayout>
          <c:xMode val="edge"/>
          <c:yMode val="edge"/>
          <c:x val="0.45480225470203767"/>
          <c:y val="2.6837290248765681E-2"/>
          <c:w val="0.54519774529796239"/>
          <c:h val="7.1662206363366052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[finance_saya.xlsx]Pivot!PivotTable13</c:name>
    <c:fmtId val="44"/>
  </c:pivotSource>
  <c:chart>
    <c:title>
      <c:tx>
        <c:rich>
          <a:bodyPr rot="0" spcFirstLastPara="1" vertOverflow="ellipsis" vert="horz" wrap="square" anchor="ctr" anchorCtr="1"/>
          <a:lstStyle/>
          <a:p>
            <a:pPr algn="ctr" rtl="0">
              <a:defRPr lang="en-US" sz="1600" b="1" i="0" u="none" strike="noStrike" kern="1200" spc="0" baseline="0">
                <a:solidFill>
                  <a:srgbClr val="002060"/>
                </a:solidFill>
                <a:latin typeface="Aptos Narrow" panose="020B0004020202020204" pitchFamily="34" charset="0"/>
                <a:ea typeface="+mn-ea"/>
                <a:cs typeface="+mn-cs"/>
              </a:defRPr>
            </a:pPr>
            <a:r>
              <a:rPr lang="en-US" sz="1600" b="1" i="0" u="none" strike="noStrike" kern="1200" spc="0" baseline="0" dirty="0">
                <a:solidFill>
                  <a:srgbClr val="002060"/>
                </a:solidFill>
                <a:latin typeface="Aptos Narrow" panose="020B0004020202020204" pitchFamily="34" charset="0"/>
                <a:ea typeface="+mn-ea"/>
                <a:cs typeface="+mn-cs"/>
              </a:rPr>
              <a:t>Metode </a:t>
            </a:r>
            <a:r>
              <a:rPr lang="en-US" sz="1600" b="1" i="0" u="none" strike="noStrike" kern="1200" spc="0" baseline="0" dirty="0" err="1">
                <a:solidFill>
                  <a:srgbClr val="002060"/>
                </a:solidFill>
                <a:latin typeface="Aptos Narrow" panose="020B0004020202020204" pitchFamily="34" charset="0"/>
                <a:ea typeface="+mn-ea"/>
                <a:cs typeface="+mn-cs"/>
              </a:rPr>
              <a:t>Pembayaran</a:t>
            </a:r>
            <a:r>
              <a:rPr lang="en-US" sz="1600" b="1" i="0" u="none" strike="noStrike" kern="1200" spc="0" baseline="0" dirty="0">
                <a:solidFill>
                  <a:srgbClr val="002060"/>
                </a:solidFill>
                <a:latin typeface="Aptos Narrow" panose="020B0004020202020204" pitchFamily="34" charset="0"/>
                <a:ea typeface="+mn-ea"/>
                <a:cs typeface="+mn-cs"/>
              </a:rPr>
              <a:t> (</a:t>
            </a:r>
            <a:r>
              <a:rPr lang="en-US" sz="1600" b="1" i="0" u="none" strike="noStrike" kern="1200" spc="0" baseline="0" dirty="0" err="1">
                <a:solidFill>
                  <a:srgbClr val="002060"/>
                </a:solidFill>
                <a:latin typeface="Aptos Narrow" panose="020B0004020202020204" pitchFamily="34" charset="0"/>
                <a:ea typeface="+mn-ea"/>
                <a:cs typeface="+mn-cs"/>
              </a:rPr>
              <a:t>Penegeluaran</a:t>
            </a:r>
            <a:r>
              <a:rPr lang="en-US" sz="1600" b="1" i="0" u="none" strike="noStrike" kern="1200" spc="0" baseline="0" dirty="0">
                <a:solidFill>
                  <a:srgbClr val="002060"/>
                </a:solidFill>
                <a:latin typeface="Aptos Narrow" panose="020B0004020202020204" pitchFamily="34" charset="0"/>
                <a:ea typeface="+mn-ea"/>
                <a:cs typeface="+mn-cs"/>
              </a:rPr>
              <a:t>)</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2060"/>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7"/>
          <c:spPr>
            <a:solidFill>
              <a:schemeClr val="tx1">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Pivot!$K$55</c:f>
              <c:strCache>
                <c:ptCount val="1"/>
                <c:pt idx="0">
                  <c:v>Total</c:v>
                </c:pt>
              </c:strCache>
            </c:strRef>
          </c:tx>
          <c:spPr>
            <a:ln w="28575" cap="rnd">
              <a:solidFill>
                <a:schemeClr val="accent1"/>
              </a:solidFill>
              <a:round/>
            </a:ln>
            <a:effectLst/>
          </c:spPr>
          <c:marker>
            <c:symbol val="circle"/>
            <c:size val="7"/>
            <c:spPr>
              <a:solidFill>
                <a:schemeClr val="tx1">
                  <a:lumMod val="95000"/>
                  <a:lumOff val="5000"/>
                </a:schemeClr>
              </a:solidFill>
              <a:ln w="9525">
                <a:solidFill>
                  <a:schemeClr val="accent1"/>
                </a:solidFill>
              </a:ln>
              <a:effectLst/>
            </c:spPr>
          </c:marker>
          <c:cat>
            <c:strRef>
              <c:f>Pivot!$J$56:$J$62</c:f>
              <c:strCache>
                <c:ptCount val="6"/>
                <c:pt idx="0">
                  <c:v>Bank Transfer</c:v>
                </c:pt>
                <c:pt idx="1">
                  <c:v>Cash</c:v>
                </c:pt>
                <c:pt idx="2">
                  <c:v>Credit Card</c:v>
                </c:pt>
                <c:pt idx="3">
                  <c:v>Debit Card</c:v>
                </c:pt>
                <c:pt idx="4">
                  <c:v>Net Banking</c:v>
                </c:pt>
                <c:pt idx="5">
                  <c:v>UPI</c:v>
                </c:pt>
              </c:strCache>
            </c:strRef>
          </c:cat>
          <c:val>
            <c:numRef>
              <c:f>Pivot!$K$56:$K$62</c:f>
              <c:numCache>
                <c:formatCode>"Rp"#,##0</c:formatCode>
                <c:ptCount val="6"/>
                <c:pt idx="0">
                  <c:v>58501000</c:v>
                </c:pt>
                <c:pt idx="1">
                  <c:v>57213000</c:v>
                </c:pt>
                <c:pt idx="2">
                  <c:v>53538200</c:v>
                </c:pt>
                <c:pt idx="3">
                  <c:v>59155300</c:v>
                </c:pt>
                <c:pt idx="4">
                  <c:v>54672500</c:v>
                </c:pt>
                <c:pt idx="5">
                  <c:v>62093900</c:v>
                </c:pt>
              </c:numCache>
            </c:numRef>
          </c:val>
          <c:smooth val="0"/>
          <c:extLst>
            <c:ext xmlns:c16="http://schemas.microsoft.com/office/drawing/2014/chart" uri="{C3380CC4-5D6E-409C-BE32-E72D297353CC}">
              <c16:uniqueId val="{00000000-58F2-4A5F-B856-54ADCAD01EE5}"/>
            </c:ext>
          </c:extLst>
        </c:ser>
        <c:dLbls>
          <c:showLegendKey val="0"/>
          <c:showVal val="0"/>
          <c:showCatName val="0"/>
          <c:showSerName val="0"/>
          <c:showPercent val="0"/>
          <c:showBubbleSize val="0"/>
        </c:dLbls>
        <c:marker val="1"/>
        <c:smooth val="0"/>
        <c:axId val="535587296"/>
        <c:axId val="1583366319"/>
      </c:lineChart>
      <c:catAx>
        <c:axId val="53558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1583366319"/>
        <c:crosses val="autoZero"/>
        <c:auto val="1"/>
        <c:lblAlgn val="ctr"/>
        <c:lblOffset val="100"/>
        <c:noMultiLvlLbl val="0"/>
      </c:catAx>
      <c:valAx>
        <c:axId val="1583366319"/>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mn-cs"/>
              </a:defRPr>
            </a:pPr>
            <a:endParaRPr lang="en-US"/>
          </a:p>
        </c:txPr>
        <c:crossAx val="53558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Jumlah Transaksi Bank</cx:v>
        </cx:txData>
      </cx:tx>
      <cx:txPr>
        <a:bodyPr spcFirstLastPara="1" vertOverflow="ellipsis" horzOverflow="overflow" wrap="square" lIns="0" tIns="0" rIns="0" bIns="0" anchor="ctr" anchorCtr="1"/>
        <a:lstStyle/>
        <a:p>
          <a:pPr algn="ctr" rtl="0">
            <a:defRPr lang="en-US" sz="1600" b="1" i="0" u="none" strike="noStrike" kern="1200" spc="0" baseline="0">
              <a:solidFill>
                <a:srgbClr val="002060"/>
              </a:solidFill>
              <a:latin typeface="Aptos Narrow" panose="020B0004020202020204" pitchFamily="34" charset="0"/>
              <a:ea typeface="+mn-ea"/>
              <a:cs typeface="+mn-cs"/>
            </a:defRPr>
          </a:pPr>
          <a:r>
            <a:rPr lang="en-US" sz="1600" b="1" i="0" u="none" strike="noStrike" kern="1200" spc="0" baseline="0">
              <a:solidFill>
                <a:srgbClr val="002060"/>
              </a:solidFill>
              <a:latin typeface="Aptos Narrow" panose="020B0004020202020204" pitchFamily="34" charset="0"/>
              <a:ea typeface="+mn-ea"/>
              <a:cs typeface="+mn-cs"/>
            </a:rPr>
            <a:t>Jumlah Transaksi Bank</a:t>
          </a:r>
        </a:p>
      </cx:txPr>
    </cx:title>
    <cx:plotArea>
      <cx:plotAreaRegion>
        <cx:series layoutId="waterfall" uniqueId="{00000000-C3D0-432A-B646-35A99074FB29}">
          <cx:dataLabels pos="outEnd">
            <cx:txPr>
              <a:bodyPr spcFirstLastPara="1" vertOverflow="ellipsis" horzOverflow="overflow" wrap="square" lIns="0" tIns="0" rIns="0" bIns="0" anchor="ctr" anchorCtr="1"/>
              <a:lstStyle/>
              <a:p>
                <a:pPr algn="ctr" rtl="0">
                  <a:defRPr sz="1000" b="1">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US" sz="1000" b="1" i="0" u="none" strike="noStrike" baseline="0">
                  <a:solidFill>
                    <a:schemeClr val="tx1"/>
                  </a:solidFill>
                  <a:latin typeface="Aptos Narrow" panose="020B0004020202020204" pitchFamily="34" charset="0"/>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US" sz="900" b="1" i="0" u="none" strike="noStrike" baseline="0">
              <a:solidFill>
                <a:schemeClr val="tx1"/>
              </a:solidFill>
              <a:latin typeface="Aptos Narrow" panose="020B0004020202020204" pitchFamily="34" charset="0"/>
            </a:endParaRPr>
          </a:p>
        </cx:txPr>
      </cx:axis>
      <cx:axis id="1">
        <cx:valScaling/>
        <cx:majorGridlines/>
        <cx:tickLabels/>
        <cx:txPr>
          <a:bodyPr spcFirstLastPara="1" vertOverflow="ellipsis" horzOverflow="overflow" wrap="square" lIns="0" tIns="0" rIns="0" bIns="0" anchor="ctr" anchorCtr="1"/>
          <a:lstStyle/>
          <a:p>
            <a:pPr algn="ctr" rtl="0">
              <a:defRPr b="1">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US" sz="900" b="1" i="0" u="none" strike="noStrike" baseline="0">
              <a:solidFill>
                <a:schemeClr val="tx1"/>
              </a:solidFill>
              <a:latin typeface="Aptos Narrow" panose="020B00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1.xml"/><Relationship Id="rId17" Type="http://schemas.openxmlformats.org/officeDocument/2006/relationships/image" Target="../media/image9.png"/><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14430</xdr:colOff>
      <xdr:row>7</xdr:row>
      <xdr:rowOff>30900</xdr:rowOff>
    </xdr:to>
    <xdr:sp macro="" textlink="">
      <xdr:nvSpPr>
        <xdr:cNvPr id="2" name="Rectangle 1">
          <a:extLst>
            <a:ext uri="{FF2B5EF4-FFF2-40B4-BE49-F238E27FC236}">
              <a16:creationId xmlns:a16="http://schemas.microsoft.com/office/drawing/2014/main" id="{EB720F09-7950-E548-73DE-FEF6FEB0D9A3}"/>
            </a:ext>
          </a:extLst>
        </xdr:cNvPr>
        <xdr:cNvSpPr/>
      </xdr:nvSpPr>
      <xdr:spPr>
        <a:xfrm>
          <a:off x="0" y="0"/>
          <a:ext cx="19410794" cy="1344195"/>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472951</xdr:colOff>
      <xdr:row>0</xdr:row>
      <xdr:rowOff>0</xdr:rowOff>
    </xdr:from>
    <xdr:to>
      <xdr:col>22</xdr:col>
      <xdr:colOff>179780</xdr:colOff>
      <xdr:row>5</xdr:row>
      <xdr:rowOff>68036</xdr:rowOff>
    </xdr:to>
    <xdr:sp macro="" textlink="">
      <xdr:nvSpPr>
        <xdr:cNvPr id="3" name="TextBox 2">
          <a:extLst>
            <a:ext uri="{FF2B5EF4-FFF2-40B4-BE49-F238E27FC236}">
              <a16:creationId xmlns:a16="http://schemas.microsoft.com/office/drawing/2014/main" id="{660A148C-3EBF-8C73-DC0D-B1795E77E814}"/>
            </a:ext>
          </a:extLst>
        </xdr:cNvPr>
        <xdr:cNvSpPr txBox="1"/>
      </xdr:nvSpPr>
      <xdr:spPr>
        <a:xfrm>
          <a:off x="4715906" y="0"/>
          <a:ext cx="8798874" cy="100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0" b="1" baseline="0">
              <a:solidFill>
                <a:schemeClr val="bg1"/>
              </a:solidFill>
              <a:latin typeface="Aptos Narrow" panose="020B0004020202020204" pitchFamily="34" charset="0"/>
            </a:rPr>
            <a:t>Personal Dashboard | 2026</a:t>
          </a:r>
        </a:p>
      </xdr:txBody>
    </xdr:sp>
    <xdr:clientData/>
  </xdr:twoCellAnchor>
  <xdr:twoCellAnchor>
    <xdr:from>
      <xdr:col>7</xdr:col>
      <xdr:colOff>516493</xdr:colOff>
      <xdr:row>4</xdr:row>
      <xdr:rowOff>16329</xdr:rowOff>
    </xdr:from>
    <xdr:to>
      <xdr:col>16</xdr:col>
      <xdr:colOff>562841</xdr:colOff>
      <xdr:row>6</xdr:row>
      <xdr:rowOff>54428</xdr:rowOff>
    </xdr:to>
    <xdr:sp macro="" textlink="">
      <xdr:nvSpPr>
        <xdr:cNvPr id="4" name="TextBox 3">
          <a:extLst>
            <a:ext uri="{FF2B5EF4-FFF2-40B4-BE49-F238E27FC236}">
              <a16:creationId xmlns:a16="http://schemas.microsoft.com/office/drawing/2014/main" id="{5B9590A8-EFA5-4800-8FE8-75834E19C0DD}"/>
            </a:ext>
          </a:extLst>
        </xdr:cNvPr>
        <xdr:cNvSpPr txBox="1"/>
      </xdr:nvSpPr>
      <xdr:spPr>
        <a:xfrm>
          <a:off x="4759448" y="766784"/>
          <a:ext cx="5501575" cy="413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solidFill>
                <a:schemeClr val="bg1"/>
              </a:solidFill>
              <a:latin typeface="Aptos Narrow" panose="020B0004020202020204" pitchFamily="34" charset="0"/>
            </a:rPr>
            <a:t>Track Incomoe, Expense, Saving, &amp; Budget</a:t>
          </a:r>
        </a:p>
      </xdr:txBody>
    </xdr:sp>
    <xdr:clientData/>
  </xdr:twoCellAnchor>
  <xdr:twoCellAnchor editAs="oneCell">
    <xdr:from>
      <xdr:col>0</xdr:col>
      <xdr:colOff>258124</xdr:colOff>
      <xdr:row>0</xdr:row>
      <xdr:rowOff>30809</xdr:rowOff>
    </xdr:from>
    <xdr:to>
      <xdr:col>4</xdr:col>
      <xdr:colOff>239073</xdr:colOff>
      <xdr:row>6</xdr:row>
      <xdr:rowOff>171986</xdr:rowOff>
    </xdr:to>
    <xdr:pic>
      <xdr:nvPicPr>
        <xdr:cNvPr id="7" name="Picture 6">
          <a:extLst>
            <a:ext uri="{FF2B5EF4-FFF2-40B4-BE49-F238E27FC236}">
              <a16:creationId xmlns:a16="http://schemas.microsoft.com/office/drawing/2014/main" id="{37E64E4D-AAE1-6AEF-1520-581A6445BBB8}"/>
            </a:ext>
          </a:extLst>
        </xdr:cNvPr>
        <xdr:cNvPicPr>
          <a:picLocks noChangeAspect="1"/>
        </xdr:cNvPicPr>
      </xdr:nvPicPr>
      <xdr:blipFill>
        <a:blip xmlns:r="http://schemas.openxmlformats.org/officeDocument/2006/relationships" r:embed="rId1"/>
        <a:stretch>
          <a:fillRect/>
        </a:stretch>
      </xdr:blipFill>
      <xdr:spPr>
        <a:xfrm>
          <a:off x="258124" y="30809"/>
          <a:ext cx="2405494" cy="1266859"/>
        </a:xfrm>
        <a:prstGeom prst="rect">
          <a:avLst/>
        </a:prstGeom>
      </xdr:spPr>
    </xdr:pic>
    <xdr:clientData/>
  </xdr:twoCellAnchor>
  <xdr:twoCellAnchor editAs="oneCell">
    <xdr:from>
      <xdr:col>29</xdr:col>
      <xdr:colOff>435238</xdr:colOff>
      <xdr:row>0</xdr:row>
      <xdr:rowOff>145491</xdr:rowOff>
    </xdr:from>
    <xdr:to>
      <xdr:col>31</xdr:col>
      <xdr:colOff>299168</xdr:colOff>
      <xdr:row>6</xdr:row>
      <xdr:rowOff>91062</xdr:rowOff>
    </xdr:to>
    <xdr:pic>
      <xdr:nvPicPr>
        <xdr:cNvPr id="9" name="Picture 8">
          <a:extLst>
            <a:ext uri="{FF2B5EF4-FFF2-40B4-BE49-F238E27FC236}">
              <a16:creationId xmlns:a16="http://schemas.microsoft.com/office/drawing/2014/main" id="{0B690882-7AB8-D936-2491-1B7DD3F44690}"/>
            </a:ext>
          </a:extLst>
        </xdr:cNvPr>
        <xdr:cNvPicPr>
          <a:picLocks noChangeAspect="1"/>
        </xdr:cNvPicPr>
      </xdr:nvPicPr>
      <xdr:blipFill>
        <a:blip xmlns:r="http://schemas.openxmlformats.org/officeDocument/2006/relationships" r:embed="rId2"/>
        <a:stretch>
          <a:fillRect/>
        </a:stretch>
      </xdr:blipFill>
      <xdr:spPr>
        <a:xfrm>
          <a:off x="18013193" y="145491"/>
          <a:ext cx="1076202" cy="1071253"/>
        </a:xfrm>
        <a:prstGeom prst="rect">
          <a:avLst/>
        </a:prstGeom>
      </xdr:spPr>
    </xdr:pic>
    <xdr:clientData/>
  </xdr:twoCellAnchor>
  <xdr:twoCellAnchor>
    <xdr:from>
      <xdr:col>0</xdr:col>
      <xdr:colOff>72160</xdr:colOff>
      <xdr:row>7</xdr:row>
      <xdr:rowOff>141845</xdr:rowOff>
    </xdr:from>
    <xdr:to>
      <xdr:col>5</xdr:col>
      <xdr:colOff>169878</xdr:colOff>
      <xdr:row>14</xdr:row>
      <xdr:rowOff>174949</xdr:rowOff>
    </xdr:to>
    <xdr:sp macro="" textlink="">
      <xdr:nvSpPr>
        <xdr:cNvPr id="10" name="Rectangle: Rounded Corners 9">
          <a:extLst>
            <a:ext uri="{FF2B5EF4-FFF2-40B4-BE49-F238E27FC236}">
              <a16:creationId xmlns:a16="http://schemas.microsoft.com/office/drawing/2014/main" id="{C6BF88B7-92DD-9DA1-B451-B6BD537CCFC7}"/>
            </a:ext>
          </a:extLst>
        </xdr:cNvPr>
        <xdr:cNvSpPr/>
      </xdr:nvSpPr>
      <xdr:spPr>
        <a:xfrm>
          <a:off x="72160" y="1475345"/>
          <a:ext cx="3159325" cy="136660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241465</xdr:colOff>
      <xdr:row>7</xdr:row>
      <xdr:rowOff>134670</xdr:rowOff>
    </xdr:from>
    <xdr:to>
      <xdr:col>10</xdr:col>
      <xdr:colOff>339183</xdr:colOff>
      <xdr:row>14</xdr:row>
      <xdr:rowOff>167774</xdr:rowOff>
    </xdr:to>
    <xdr:sp macro="" textlink="">
      <xdr:nvSpPr>
        <xdr:cNvPr id="11" name="Rectangle: Rounded Corners 10">
          <a:extLst>
            <a:ext uri="{FF2B5EF4-FFF2-40B4-BE49-F238E27FC236}">
              <a16:creationId xmlns:a16="http://schemas.microsoft.com/office/drawing/2014/main" id="{D9D83083-0A2E-482A-85D3-A466C76E6E59}"/>
            </a:ext>
          </a:extLst>
        </xdr:cNvPr>
        <xdr:cNvSpPr/>
      </xdr:nvSpPr>
      <xdr:spPr>
        <a:xfrm>
          <a:off x="3303072" y="1468170"/>
          <a:ext cx="3159325" cy="136660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141515</xdr:colOff>
      <xdr:row>7</xdr:row>
      <xdr:rowOff>128478</xdr:rowOff>
    </xdr:from>
    <xdr:to>
      <xdr:col>26</xdr:col>
      <xdr:colOff>239234</xdr:colOff>
      <xdr:row>14</xdr:row>
      <xdr:rowOff>161582</xdr:rowOff>
    </xdr:to>
    <xdr:sp macro="" textlink="">
      <xdr:nvSpPr>
        <xdr:cNvPr id="12" name="Rectangle: Rounded Corners 11">
          <a:extLst>
            <a:ext uri="{FF2B5EF4-FFF2-40B4-BE49-F238E27FC236}">
              <a16:creationId xmlns:a16="http://schemas.microsoft.com/office/drawing/2014/main" id="{D7F1D218-DDB4-4958-83D3-5ACF2B7BB1D6}"/>
            </a:ext>
          </a:extLst>
        </xdr:cNvPr>
        <xdr:cNvSpPr/>
      </xdr:nvSpPr>
      <xdr:spPr>
        <a:xfrm>
          <a:off x="13066207" y="1461978"/>
          <a:ext cx="3175027" cy="136660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586264</xdr:colOff>
      <xdr:row>7</xdr:row>
      <xdr:rowOff>138050</xdr:rowOff>
    </xdr:from>
    <xdr:to>
      <xdr:col>21</xdr:col>
      <xdr:colOff>71660</xdr:colOff>
      <xdr:row>14</xdr:row>
      <xdr:rowOff>171154</xdr:rowOff>
    </xdr:to>
    <xdr:sp macro="" textlink="">
      <xdr:nvSpPr>
        <xdr:cNvPr id="13" name="Rectangle: Rounded Corners 12">
          <a:extLst>
            <a:ext uri="{FF2B5EF4-FFF2-40B4-BE49-F238E27FC236}">
              <a16:creationId xmlns:a16="http://schemas.microsoft.com/office/drawing/2014/main" id="{1D2CBEEB-8108-444C-B426-8BC8B0FAD588}"/>
            </a:ext>
          </a:extLst>
        </xdr:cNvPr>
        <xdr:cNvSpPr/>
      </xdr:nvSpPr>
      <xdr:spPr>
        <a:xfrm>
          <a:off x="9771085" y="1471550"/>
          <a:ext cx="3159325" cy="136660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414151</xdr:colOff>
      <xdr:row>7</xdr:row>
      <xdr:rowOff>145310</xdr:rowOff>
    </xdr:from>
    <xdr:to>
      <xdr:col>15</xdr:col>
      <xdr:colOff>518055</xdr:colOff>
      <xdr:row>14</xdr:row>
      <xdr:rowOff>178414</xdr:rowOff>
    </xdr:to>
    <xdr:sp macro="" textlink="">
      <xdr:nvSpPr>
        <xdr:cNvPr id="14" name="Rectangle: Rounded Corners 13">
          <a:extLst>
            <a:ext uri="{FF2B5EF4-FFF2-40B4-BE49-F238E27FC236}">
              <a16:creationId xmlns:a16="http://schemas.microsoft.com/office/drawing/2014/main" id="{838200CF-DF05-4786-AB1B-1FBB097D0E77}"/>
            </a:ext>
          </a:extLst>
        </xdr:cNvPr>
        <xdr:cNvSpPr/>
      </xdr:nvSpPr>
      <xdr:spPr>
        <a:xfrm>
          <a:off x="6537365" y="1478810"/>
          <a:ext cx="3165511" cy="136660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295381</xdr:colOff>
      <xdr:row>7</xdr:row>
      <xdr:rowOff>128478</xdr:rowOff>
    </xdr:from>
    <xdr:to>
      <xdr:col>31</xdr:col>
      <xdr:colOff>577273</xdr:colOff>
      <xdr:row>14</xdr:row>
      <xdr:rowOff>161582</xdr:rowOff>
    </xdr:to>
    <xdr:sp macro="" textlink="">
      <xdr:nvSpPr>
        <xdr:cNvPr id="16" name="Rectangle: Rounded Corners 15">
          <a:extLst>
            <a:ext uri="{FF2B5EF4-FFF2-40B4-BE49-F238E27FC236}">
              <a16:creationId xmlns:a16="http://schemas.microsoft.com/office/drawing/2014/main" id="{04128A99-D055-4A1C-8A93-34C7A9D8FDE6}"/>
            </a:ext>
          </a:extLst>
        </xdr:cNvPr>
        <xdr:cNvSpPr/>
      </xdr:nvSpPr>
      <xdr:spPr>
        <a:xfrm>
          <a:off x="16054926" y="1441773"/>
          <a:ext cx="3312574" cy="13464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129887</xdr:colOff>
      <xdr:row>8</xdr:row>
      <xdr:rowOff>0</xdr:rowOff>
    </xdr:from>
    <xdr:to>
      <xdr:col>5</xdr:col>
      <xdr:colOff>101023</xdr:colOff>
      <xdr:row>10</xdr:row>
      <xdr:rowOff>101023</xdr:rowOff>
    </xdr:to>
    <xdr:sp macro="" textlink="">
      <xdr:nvSpPr>
        <xdr:cNvPr id="17" name="TextBox 16">
          <a:extLst>
            <a:ext uri="{FF2B5EF4-FFF2-40B4-BE49-F238E27FC236}">
              <a16:creationId xmlns:a16="http://schemas.microsoft.com/office/drawing/2014/main" id="{EDA40551-2B98-D326-BC23-0D463E6637F7}"/>
            </a:ext>
          </a:extLst>
        </xdr:cNvPr>
        <xdr:cNvSpPr txBox="1"/>
      </xdr:nvSpPr>
      <xdr:spPr>
        <a:xfrm>
          <a:off x="736023" y="1500909"/>
          <a:ext cx="239568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Aptos Narrow" panose="020B0004020202020204" pitchFamily="34" charset="0"/>
            </a:rPr>
            <a:t>Total Pendapatan</a:t>
          </a:r>
        </a:p>
      </xdr:txBody>
    </xdr:sp>
    <xdr:clientData/>
  </xdr:twoCellAnchor>
  <xdr:twoCellAnchor>
    <xdr:from>
      <xdr:col>21</xdr:col>
      <xdr:colOff>354445</xdr:colOff>
      <xdr:row>7</xdr:row>
      <xdr:rowOff>109103</xdr:rowOff>
    </xdr:from>
    <xdr:to>
      <xdr:col>26</xdr:col>
      <xdr:colOff>447387</xdr:colOff>
      <xdr:row>9</xdr:row>
      <xdr:rowOff>144316</xdr:rowOff>
    </xdr:to>
    <xdr:sp macro="" textlink="">
      <xdr:nvSpPr>
        <xdr:cNvPr id="19" name="TextBox 18">
          <a:extLst>
            <a:ext uri="{FF2B5EF4-FFF2-40B4-BE49-F238E27FC236}">
              <a16:creationId xmlns:a16="http://schemas.microsoft.com/office/drawing/2014/main" id="{7C2A9288-36E7-4884-89FC-936C275C100E}"/>
            </a:ext>
          </a:extLst>
        </xdr:cNvPr>
        <xdr:cNvSpPr txBox="1"/>
      </xdr:nvSpPr>
      <xdr:spPr>
        <a:xfrm>
          <a:off x="13083309" y="1422398"/>
          <a:ext cx="3123623" cy="41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Aptos Narrow" panose="020B0004020202020204" pitchFamily="34" charset="0"/>
            </a:rPr>
            <a:t>Pemanfaatan </a:t>
          </a:r>
          <a:r>
            <a:rPr lang="en-US" sz="2400" b="1">
              <a:latin typeface="Aptos Narrow" panose="020B0004020202020204" pitchFamily="34" charset="0"/>
            </a:rPr>
            <a:t>Anggaran</a:t>
          </a:r>
          <a:endParaRPr lang="en-US" sz="2000" b="1">
            <a:latin typeface="Aptos Narrow" panose="020B0004020202020204" pitchFamily="34" charset="0"/>
          </a:endParaRPr>
        </a:p>
      </xdr:txBody>
    </xdr:sp>
    <xdr:clientData/>
  </xdr:twoCellAnchor>
  <xdr:twoCellAnchor>
    <xdr:from>
      <xdr:col>16</xdr:col>
      <xdr:colOff>579004</xdr:colOff>
      <xdr:row>8</xdr:row>
      <xdr:rowOff>1732</xdr:rowOff>
    </xdr:from>
    <xdr:to>
      <xdr:col>20</xdr:col>
      <xdr:colOff>404090</xdr:colOff>
      <xdr:row>10</xdr:row>
      <xdr:rowOff>72159</xdr:rowOff>
    </xdr:to>
    <xdr:sp macro="" textlink="">
      <xdr:nvSpPr>
        <xdr:cNvPr id="20" name="TextBox 19">
          <a:extLst>
            <a:ext uri="{FF2B5EF4-FFF2-40B4-BE49-F238E27FC236}">
              <a16:creationId xmlns:a16="http://schemas.microsoft.com/office/drawing/2014/main" id="{CC98E901-E83C-40C7-A4AE-5133AAF922C8}"/>
            </a:ext>
          </a:extLst>
        </xdr:cNvPr>
        <xdr:cNvSpPr txBox="1"/>
      </xdr:nvSpPr>
      <xdr:spPr>
        <a:xfrm>
          <a:off x="10277186" y="1502641"/>
          <a:ext cx="2249631" cy="44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Aptos Narrow" panose="020B0004020202020204" pitchFamily="34" charset="0"/>
            </a:rPr>
            <a:t>Rasio Tabungan</a:t>
          </a:r>
        </a:p>
      </xdr:txBody>
    </xdr:sp>
    <xdr:clientData/>
  </xdr:twoCellAnchor>
  <xdr:twoCellAnchor>
    <xdr:from>
      <xdr:col>11</xdr:col>
      <xdr:colOff>471631</xdr:colOff>
      <xdr:row>7</xdr:row>
      <xdr:rowOff>182995</xdr:rowOff>
    </xdr:from>
    <xdr:to>
      <xdr:col>15</xdr:col>
      <xdr:colOff>346363</xdr:colOff>
      <xdr:row>10</xdr:row>
      <xdr:rowOff>57727</xdr:rowOff>
    </xdr:to>
    <xdr:sp macro="" textlink="">
      <xdr:nvSpPr>
        <xdr:cNvPr id="21" name="TextBox 20">
          <a:extLst>
            <a:ext uri="{FF2B5EF4-FFF2-40B4-BE49-F238E27FC236}">
              <a16:creationId xmlns:a16="http://schemas.microsoft.com/office/drawing/2014/main" id="{2BB86825-EA49-4B22-BC4F-A6137A76E052}"/>
            </a:ext>
          </a:extLst>
        </xdr:cNvPr>
        <xdr:cNvSpPr txBox="1"/>
      </xdr:nvSpPr>
      <xdr:spPr>
        <a:xfrm>
          <a:off x="7139131" y="1496290"/>
          <a:ext cx="2299277" cy="437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Aptos Narrow" panose="020B0004020202020204" pitchFamily="34" charset="0"/>
            </a:rPr>
            <a:t>Tabungan Bersih</a:t>
          </a:r>
        </a:p>
      </xdr:txBody>
    </xdr:sp>
    <xdr:clientData/>
  </xdr:twoCellAnchor>
  <xdr:twoCellAnchor>
    <xdr:from>
      <xdr:col>6</xdr:col>
      <xdr:colOff>234374</xdr:colOff>
      <xdr:row>7</xdr:row>
      <xdr:rowOff>176645</xdr:rowOff>
    </xdr:from>
    <xdr:to>
      <xdr:col>10</xdr:col>
      <xdr:colOff>274204</xdr:colOff>
      <xdr:row>10</xdr:row>
      <xdr:rowOff>28863</xdr:rowOff>
    </xdr:to>
    <xdr:sp macro="" textlink="">
      <xdr:nvSpPr>
        <xdr:cNvPr id="22" name="TextBox 21">
          <a:extLst>
            <a:ext uri="{FF2B5EF4-FFF2-40B4-BE49-F238E27FC236}">
              <a16:creationId xmlns:a16="http://schemas.microsoft.com/office/drawing/2014/main" id="{99D0E03C-2DD5-403F-A078-293928AC7774}"/>
            </a:ext>
          </a:extLst>
        </xdr:cNvPr>
        <xdr:cNvSpPr txBox="1"/>
      </xdr:nvSpPr>
      <xdr:spPr>
        <a:xfrm>
          <a:off x="3871192" y="1489940"/>
          <a:ext cx="2464376" cy="415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Aptos Narrow" panose="020B0004020202020204" pitchFamily="34" charset="0"/>
            </a:rPr>
            <a:t>Total Pengeluaran</a:t>
          </a:r>
        </a:p>
      </xdr:txBody>
    </xdr:sp>
    <xdr:clientData/>
  </xdr:twoCellAnchor>
  <xdr:twoCellAnchor>
    <xdr:from>
      <xdr:col>27</xdr:col>
      <xdr:colOff>275936</xdr:colOff>
      <xdr:row>8</xdr:row>
      <xdr:rowOff>1731</xdr:rowOff>
    </xdr:from>
    <xdr:to>
      <xdr:col>31</xdr:col>
      <xdr:colOff>144318</xdr:colOff>
      <xdr:row>10</xdr:row>
      <xdr:rowOff>43295</xdr:rowOff>
    </xdr:to>
    <xdr:sp macro="" textlink="">
      <xdr:nvSpPr>
        <xdr:cNvPr id="23" name="TextBox 22">
          <a:extLst>
            <a:ext uri="{FF2B5EF4-FFF2-40B4-BE49-F238E27FC236}">
              <a16:creationId xmlns:a16="http://schemas.microsoft.com/office/drawing/2014/main" id="{3D52D245-CA11-40CB-B35B-757F208B4A16}"/>
            </a:ext>
          </a:extLst>
        </xdr:cNvPr>
        <xdr:cNvSpPr txBox="1"/>
      </xdr:nvSpPr>
      <xdr:spPr>
        <a:xfrm>
          <a:off x="16641618" y="1502640"/>
          <a:ext cx="2292927" cy="416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Aptos Narrow" panose="020B0004020202020204" pitchFamily="34" charset="0"/>
            </a:rPr>
            <a:t>Saldo Saat ini</a:t>
          </a:r>
        </a:p>
      </xdr:txBody>
    </xdr:sp>
    <xdr:clientData/>
  </xdr:twoCellAnchor>
  <xdr:twoCellAnchor editAs="oneCell">
    <xdr:from>
      <xdr:col>0</xdr:col>
      <xdr:colOff>232641</xdr:colOff>
      <xdr:row>10</xdr:row>
      <xdr:rowOff>16164</xdr:rowOff>
    </xdr:from>
    <xdr:to>
      <xdr:col>1</xdr:col>
      <xdr:colOff>202047</xdr:colOff>
      <xdr:row>13</xdr:row>
      <xdr:rowOff>28865</xdr:rowOff>
    </xdr:to>
    <xdr:pic>
      <xdr:nvPicPr>
        <xdr:cNvPr id="24" name="Picture 23">
          <a:extLst>
            <a:ext uri="{FF2B5EF4-FFF2-40B4-BE49-F238E27FC236}">
              <a16:creationId xmlns:a16="http://schemas.microsoft.com/office/drawing/2014/main" id="{1A084CC8-1CE2-662F-650D-3F534B7D640D}"/>
            </a:ext>
          </a:extLst>
        </xdr:cNvPr>
        <xdr:cNvPicPr>
          <a:picLocks noChangeAspect="1"/>
        </xdr:cNvPicPr>
      </xdr:nvPicPr>
      <xdr:blipFill>
        <a:blip xmlns:r="http://schemas.openxmlformats.org/officeDocument/2006/relationships" r:embed="rId3"/>
        <a:stretch>
          <a:fillRect/>
        </a:stretch>
      </xdr:blipFill>
      <xdr:spPr>
        <a:xfrm>
          <a:off x="232641" y="1892300"/>
          <a:ext cx="575542" cy="575542"/>
        </a:xfrm>
        <a:prstGeom prst="rect">
          <a:avLst/>
        </a:prstGeom>
      </xdr:spPr>
    </xdr:pic>
    <xdr:clientData/>
  </xdr:twoCellAnchor>
  <xdr:twoCellAnchor editAs="oneCell">
    <xdr:from>
      <xdr:col>5</xdr:col>
      <xdr:colOff>375226</xdr:colOff>
      <xdr:row>9</xdr:row>
      <xdr:rowOff>129884</xdr:rowOff>
    </xdr:from>
    <xdr:to>
      <xdr:col>6</xdr:col>
      <xdr:colOff>404091</xdr:colOff>
      <xdr:row>13</xdr:row>
      <xdr:rowOff>14431</xdr:rowOff>
    </xdr:to>
    <xdr:pic>
      <xdr:nvPicPr>
        <xdr:cNvPr id="25" name="Picture 24">
          <a:extLst>
            <a:ext uri="{FF2B5EF4-FFF2-40B4-BE49-F238E27FC236}">
              <a16:creationId xmlns:a16="http://schemas.microsoft.com/office/drawing/2014/main" id="{87D4C0F0-EC88-ACA0-ED5A-3C2DB8EF8F8B}"/>
            </a:ext>
          </a:extLst>
        </xdr:cNvPr>
        <xdr:cNvPicPr>
          <a:picLocks noChangeAspect="1"/>
        </xdr:cNvPicPr>
      </xdr:nvPicPr>
      <xdr:blipFill>
        <a:blip xmlns:r="http://schemas.openxmlformats.org/officeDocument/2006/relationships" r:embed="rId4"/>
        <a:stretch>
          <a:fillRect/>
        </a:stretch>
      </xdr:blipFill>
      <xdr:spPr>
        <a:xfrm>
          <a:off x="3405908" y="1818407"/>
          <a:ext cx="635001" cy="635001"/>
        </a:xfrm>
        <a:prstGeom prst="rect">
          <a:avLst/>
        </a:prstGeom>
      </xdr:spPr>
    </xdr:pic>
    <xdr:clientData/>
  </xdr:twoCellAnchor>
  <xdr:twoCellAnchor editAs="oneCell">
    <xdr:from>
      <xdr:col>10</xdr:col>
      <xdr:colOff>562841</xdr:colOff>
      <xdr:row>9</xdr:row>
      <xdr:rowOff>72159</xdr:rowOff>
    </xdr:from>
    <xdr:to>
      <xdr:col>11</xdr:col>
      <xdr:colOff>577273</xdr:colOff>
      <xdr:row>12</xdr:row>
      <xdr:rowOff>129886</xdr:rowOff>
    </xdr:to>
    <xdr:pic>
      <xdr:nvPicPr>
        <xdr:cNvPr id="26" name="Picture 25">
          <a:extLst>
            <a:ext uri="{FF2B5EF4-FFF2-40B4-BE49-F238E27FC236}">
              <a16:creationId xmlns:a16="http://schemas.microsoft.com/office/drawing/2014/main" id="{74F889A5-84B7-CF74-5810-579D4431FEAB}"/>
            </a:ext>
          </a:extLst>
        </xdr:cNvPr>
        <xdr:cNvPicPr>
          <a:picLocks noChangeAspect="1"/>
        </xdr:cNvPicPr>
      </xdr:nvPicPr>
      <xdr:blipFill>
        <a:blip xmlns:r="http://schemas.openxmlformats.org/officeDocument/2006/relationships" r:embed="rId5"/>
        <a:stretch>
          <a:fillRect/>
        </a:stretch>
      </xdr:blipFill>
      <xdr:spPr>
        <a:xfrm>
          <a:off x="6624205" y="1760682"/>
          <a:ext cx="620568" cy="620568"/>
        </a:xfrm>
        <a:prstGeom prst="rect">
          <a:avLst/>
        </a:prstGeom>
      </xdr:spPr>
    </xdr:pic>
    <xdr:clientData/>
  </xdr:twoCellAnchor>
  <xdr:twoCellAnchor editAs="oneCell">
    <xdr:from>
      <xdr:col>16</xdr:col>
      <xdr:colOff>101023</xdr:colOff>
      <xdr:row>9</xdr:row>
      <xdr:rowOff>101023</xdr:rowOff>
    </xdr:from>
    <xdr:to>
      <xdr:col>17</xdr:col>
      <xdr:colOff>129887</xdr:colOff>
      <xdr:row>12</xdr:row>
      <xdr:rowOff>173182</xdr:rowOff>
    </xdr:to>
    <xdr:pic>
      <xdr:nvPicPr>
        <xdr:cNvPr id="27" name="Picture 26">
          <a:extLst>
            <a:ext uri="{FF2B5EF4-FFF2-40B4-BE49-F238E27FC236}">
              <a16:creationId xmlns:a16="http://schemas.microsoft.com/office/drawing/2014/main" id="{9CD1DC1F-8416-0251-85C5-670C12CBA654}"/>
            </a:ext>
          </a:extLst>
        </xdr:cNvPr>
        <xdr:cNvPicPr>
          <a:picLocks noChangeAspect="1"/>
        </xdr:cNvPicPr>
      </xdr:nvPicPr>
      <xdr:blipFill>
        <a:blip xmlns:r="http://schemas.openxmlformats.org/officeDocument/2006/relationships" r:embed="rId6"/>
        <a:stretch>
          <a:fillRect/>
        </a:stretch>
      </xdr:blipFill>
      <xdr:spPr>
        <a:xfrm>
          <a:off x="9799205" y="1789546"/>
          <a:ext cx="635000" cy="635000"/>
        </a:xfrm>
        <a:prstGeom prst="rect">
          <a:avLst/>
        </a:prstGeom>
      </xdr:spPr>
    </xdr:pic>
    <xdr:clientData/>
  </xdr:twoCellAnchor>
  <xdr:twoCellAnchor editAs="oneCell">
    <xdr:from>
      <xdr:col>21</xdr:col>
      <xdr:colOff>245343</xdr:colOff>
      <xdr:row>9</xdr:row>
      <xdr:rowOff>115456</xdr:rowOff>
    </xdr:from>
    <xdr:to>
      <xdr:col>22</xdr:col>
      <xdr:colOff>317501</xdr:colOff>
      <xdr:row>13</xdr:row>
      <xdr:rowOff>43296</xdr:rowOff>
    </xdr:to>
    <xdr:pic>
      <xdr:nvPicPr>
        <xdr:cNvPr id="28" name="Picture 27">
          <a:extLst>
            <a:ext uri="{FF2B5EF4-FFF2-40B4-BE49-F238E27FC236}">
              <a16:creationId xmlns:a16="http://schemas.microsoft.com/office/drawing/2014/main" id="{0C57D8CA-18AB-EE3D-9C69-A22B11661E28}"/>
            </a:ext>
          </a:extLst>
        </xdr:cNvPr>
        <xdr:cNvPicPr>
          <a:picLocks noChangeAspect="1"/>
        </xdr:cNvPicPr>
      </xdr:nvPicPr>
      <xdr:blipFill>
        <a:blip xmlns:r="http://schemas.openxmlformats.org/officeDocument/2006/relationships" r:embed="rId7"/>
        <a:stretch>
          <a:fillRect/>
        </a:stretch>
      </xdr:blipFill>
      <xdr:spPr>
        <a:xfrm>
          <a:off x="12974207" y="1803979"/>
          <a:ext cx="678294" cy="678294"/>
        </a:xfrm>
        <a:prstGeom prst="rect">
          <a:avLst/>
        </a:prstGeom>
      </xdr:spPr>
    </xdr:pic>
    <xdr:clientData/>
  </xdr:twoCellAnchor>
  <xdr:twoCellAnchor editAs="oneCell">
    <xdr:from>
      <xdr:col>26</xdr:col>
      <xdr:colOff>447388</xdr:colOff>
      <xdr:row>9</xdr:row>
      <xdr:rowOff>57726</xdr:rowOff>
    </xdr:from>
    <xdr:to>
      <xdr:col>27</xdr:col>
      <xdr:colOff>519546</xdr:colOff>
      <xdr:row>12</xdr:row>
      <xdr:rowOff>173180</xdr:rowOff>
    </xdr:to>
    <xdr:pic>
      <xdr:nvPicPr>
        <xdr:cNvPr id="29" name="Picture 28">
          <a:extLst>
            <a:ext uri="{FF2B5EF4-FFF2-40B4-BE49-F238E27FC236}">
              <a16:creationId xmlns:a16="http://schemas.microsoft.com/office/drawing/2014/main" id="{39DFB7C9-5533-079A-EEAC-86DCC737139C}"/>
            </a:ext>
          </a:extLst>
        </xdr:cNvPr>
        <xdr:cNvPicPr>
          <a:picLocks noChangeAspect="1"/>
        </xdr:cNvPicPr>
      </xdr:nvPicPr>
      <xdr:blipFill>
        <a:blip xmlns:r="http://schemas.openxmlformats.org/officeDocument/2006/relationships" r:embed="rId8"/>
        <a:stretch>
          <a:fillRect/>
        </a:stretch>
      </xdr:blipFill>
      <xdr:spPr>
        <a:xfrm>
          <a:off x="16206933" y="1746249"/>
          <a:ext cx="678295" cy="678295"/>
        </a:xfrm>
        <a:prstGeom prst="rect">
          <a:avLst/>
        </a:prstGeom>
      </xdr:spPr>
    </xdr:pic>
    <xdr:clientData/>
  </xdr:twoCellAnchor>
  <xdr:twoCellAnchor>
    <xdr:from>
      <xdr:col>1</xdr:col>
      <xdr:colOff>296720</xdr:colOff>
      <xdr:row>10</xdr:row>
      <xdr:rowOff>80240</xdr:rowOff>
    </xdr:from>
    <xdr:to>
      <xdr:col>5</xdr:col>
      <xdr:colOff>28864</xdr:colOff>
      <xdr:row>12</xdr:row>
      <xdr:rowOff>72157</xdr:rowOff>
    </xdr:to>
    <xdr:sp macro="" textlink="Pivot!$C$11">
      <xdr:nvSpPr>
        <xdr:cNvPr id="31" name="TextBox 30">
          <a:extLst>
            <a:ext uri="{FF2B5EF4-FFF2-40B4-BE49-F238E27FC236}">
              <a16:creationId xmlns:a16="http://schemas.microsoft.com/office/drawing/2014/main" id="{03D5A1FD-DCBB-4ED6-94BA-60753ACB600A}"/>
            </a:ext>
          </a:extLst>
        </xdr:cNvPr>
        <xdr:cNvSpPr txBox="1"/>
      </xdr:nvSpPr>
      <xdr:spPr>
        <a:xfrm>
          <a:off x="902856" y="1956376"/>
          <a:ext cx="2156690"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331A17-0352-45F1-A3B1-19A62920FAF9}" type="TxLink">
            <a:rPr lang="en-US" sz="2400" b="1" i="0" u="none" strike="noStrike">
              <a:solidFill>
                <a:srgbClr val="00204F"/>
              </a:solidFill>
              <a:latin typeface="Aptos Narrow" panose="020B0004020202020204" pitchFamily="34" charset="0"/>
              <a:ea typeface="Calibri"/>
              <a:cs typeface="Calibri"/>
            </a:rPr>
            <a:t>Rp383,563,900</a:t>
          </a:fld>
          <a:endParaRPr lang="en-US" sz="2400" b="1">
            <a:solidFill>
              <a:srgbClr val="00204F"/>
            </a:solidFill>
            <a:latin typeface="Aptos Narrow" panose="020B0004020202020204" pitchFamily="34" charset="0"/>
          </a:endParaRPr>
        </a:p>
      </xdr:txBody>
    </xdr:sp>
    <xdr:clientData/>
  </xdr:twoCellAnchor>
  <xdr:twoCellAnchor>
    <xdr:from>
      <xdr:col>6</xdr:col>
      <xdr:colOff>477984</xdr:colOff>
      <xdr:row>10</xdr:row>
      <xdr:rowOff>73890</xdr:rowOff>
    </xdr:from>
    <xdr:to>
      <xdr:col>10</xdr:col>
      <xdr:colOff>210128</xdr:colOff>
      <xdr:row>12</xdr:row>
      <xdr:rowOff>65807</xdr:rowOff>
    </xdr:to>
    <xdr:sp macro="" textlink="Pivot!$C$12">
      <xdr:nvSpPr>
        <xdr:cNvPr id="32" name="TextBox 31">
          <a:extLst>
            <a:ext uri="{FF2B5EF4-FFF2-40B4-BE49-F238E27FC236}">
              <a16:creationId xmlns:a16="http://schemas.microsoft.com/office/drawing/2014/main" id="{78529015-8D0F-4140-A6F8-2327D6F4491A}"/>
            </a:ext>
          </a:extLst>
        </xdr:cNvPr>
        <xdr:cNvSpPr txBox="1"/>
      </xdr:nvSpPr>
      <xdr:spPr>
        <a:xfrm>
          <a:off x="4114802" y="1950026"/>
          <a:ext cx="2156690"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32541DE-D4BA-4921-956A-558256AB804A}" type="TxLink">
            <a:rPr lang="en-US" sz="2400" b="1" i="0" u="none" strike="noStrike">
              <a:solidFill>
                <a:srgbClr val="00204F"/>
              </a:solidFill>
              <a:latin typeface="Aptos Narrow" panose="020B0004020202020204" pitchFamily="34" charset="0"/>
              <a:ea typeface="Calibri"/>
              <a:cs typeface="Calibri"/>
            </a:rPr>
            <a:pPr marL="0" indent="0" algn="ctr"/>
            <a:t>Rp345,173,900</a:t>
          </a:fld>
          <a:endParaRPr lang="en-US" sz="2400" b="1" i="0" u="none" strike="noStrike">
            <a:solidFill>
              <a:srgbClr val="00204F"/>
            </a:solidFill>
            <a:latin typeface="Aptos Narrow" panose="020B0004020202020204" pitchFamily="34" charset="0"/>
            <a:ea typeface="Calibri"/>
            <a:cs typeface="Calibri"/>
          </a:endParaRPr>
        </a:p>
      </xdr:txBody>
    </xdr:sp>
    <xdr:clientData/>
  </xdr:twoCellAnchor>
  <xdr:twoCellAnchor>
    <xdr:from>
      <xdr:col>12</xdr:col>
      <xdr:colOff>24248</xdr:colOff>
      <xdr:row>10</xdr:row>
      <xdr:rowOff>67540</xdr:rowOff>
    </xdr:from>
    <xdr:to>
      <xdr:col>15</xdr:col>
      <xdr:colOff>362529</xdr:colOff>
      <xdr:row>12</xdr:row>
      <xdr:rowOff>59457</xdr:rowOff>
    </xdr:to>
    <xdr:sp macro="" textlink="Pivot!$C$13">
      <xdr:nvSpPr>
        <xdr:cNvPr id="33" name="TextBox 32">
          <a:extLst>
            <a:ext uri="{FF2B5EF4-FFF2-40B4-BE49-F238E27FC236}">
              <a16:creationId xmlns:a16="http://schemas.microsoft.com/office/drawing/2014/main" id="{2EE099D6-23FB-4E35-A2A2-27DB5D25541D}"/>
            </a:ext>
          </a:extLst>
        </xdr:cNvPr>
        <xdr:cNvSpPr txBox="1"/>
      </xdr:nvSpPr>
      <xdr:spPr>
        <a:xfrm>
          <a:off x="7297884" y="1943676"/>
          <a:ext cx="2156690"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C3CDFBF-B369-4FC9-B4CB-82A24EA6BCC7}" type="TxLink">
            <a:rPr lang="en-US" sz="2400" b="1" i="0" u="none" strike="noStrike">
              <a:solidFill>
                <a:srgbClr val="00204F"/>
              </a:solidFill>
              <a:latin typeface="Aptos Narrow" panose="020B0004020202020204" pitchFamily="34" charset="0"/>
              <a:ea typeface="Calibri"/>
              <a:cs typeface="Calibri"/>
            </a:rPr>
            <a:pPr marL="0" indent="0" algn="ctr"/>
            <a:t>Rp38,390,000</a:t>
          </a:fld>
          <a:endParaRPr lang="en-US" sz="2400" b="1" i="0" u="none" strike="noStrike">
            <a:solidFill>
              <a:srgbClr val="00204F"/>
            </a:solidFill>
            <a:latin typeface="Aptos Narrow" panose="020B0004020202020204" pitchFamily="34" charset="0"/>
            <a:ea typeface="Calibri"/>
            <a:cs typeface="Calibri"/>
          </a:endParaRPr>
        </a:p>
      </xdr:txBody>
    </xdr:sp>
    <xdr:clientData/>
  </xdr:twoCellAnchor>
  <xdr:twoCellAnchor>
    <xdr:from>
      <xdr:col>16</xdr:col>
      <xdr:colOff>523012</xdr:colOff>
      <xdr:row>9</xdr:row>
      <xdr:rowOff>176644</xdr:rowOff>
    </xdr:from>
    <xdr:to>
      <xdr:col>20</xdr:col>
      <xdr:colOff>255157</xdr:colOff>
      <xdr:row>12</xdr:row>
      <xdr:rowOff>86591</xdr:rowOff>
    </xdr:to>
    <xdr:sp macro="" textlink="Pivot!$C$14">
      <xdr:nvSpPr>
        <xdr:cNvPr id="34" name="TextBox 33">
          <a:extLst>
            <a:ext uri="{FF2B5EF4-FFF2-40B4-BE49-F238E27FC236}">
              <a16:creationId xmlns:a16="http://schemas.microsoft.com/office/drawing/2014/main" id="{0B57CE73-9600-4C85-86F7-D45BB19D4293}"/>
            </a:ext>
          </a:extLst>
        </xdr:cNvPr>
        <xdr:cNvSpPr txBox="1"/>
      </xdr:nvSpPr>
      <xdr:spPr>
        <a:xfrm>
          <a:off x="10221194" y="1865167"/>
          <a:ext cx="2156690" cy="472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4BBF24-B19A-48D8-8DC9-4FBFC9F4E0C3}" type="TxLink">
            <a:rPr lang="en-US" sz="2800" b="1" i="0" u="none" strike="noStrike">
              <a:solidFill>
                <a:srgbClr val="00204F"/>
              </a:solidFill>
              <a:latin typeface="Aptos Narrow" panose="020B0004020202020204" pitchFamily="34" charset="0"/>
              <a:ea typeface="Calibri"/>
              <a:cs typeface="Calibri"/>
            </a:rPr>
            <a:pPr marL="0" indent="0" algn="ctr"/>
            <a:t>10%</a:t>
          </a:fld>
          <a:endParaRPr lang="en-US" sz="2800" b="1" i="0" u="none" strike="noStrike">
            <a:solidFill>
              <a:srgbClr val="00204F"/>
            </a:solidFill>
            <a:latin typeface="Aptos Narrow" panose="020B0004020202020204" pitchFamily="34" charset="0"/>
            <a:ea typeface="Calibri"/>
            <a:cs typeface="Calibri"/>
          </a:endParaRPr>
        </a:p>
      </xdr:txBody>
    </xdr:sp>
    <xdr:clientData/>
  </xdr:twoCellAnchor>
  <xdr:twoCellAnchor>
    <xdr:from>
      <xdr:col>22</xdr:col>
      <xdr:colOff>292102</xdr:colOff>
      <xdr:row>10</xdr:row>
      <xdr:rowOff>17895</xdr:rowOff>
    </xdr:from>
    <xdr:to>
      <xdr:col>26</xdr:col>
      <xdr:colOff>24247</xdr:colOff>
      <xdr:row>12</xdr:row>
      <xdr:rowOff>115455</xdr:rowOff>
    </xdr:to>
    <xdr:sp macro="" textlink="Pivot!$C$15">
      <xdr:nvSpPr>
        <xdr:cNvPr id="35" name="TextBox 34">
          <a:extLst>
            <a:ext uri="{FF2B5EF4-FFF2-40B4-BE49-F238E27FC236}">
              <a16:creationId xmlns:a16="http://schemas.microsoft.com/office/drawing/2014/main" id="{45119893-08FB-4ECE-9110-9201465982B4}"/>
            </a:ext>
          </a:extLst>
        </xdr:cNvPr>
        <xdr:cNvSpPr txBox="1"/>
      </xdr:nvSpPr>
      <xdr:spPr>
        <a:xfrm>
          <a:off x="13627102" y="1894031"/>
          <a:ext cx="2156690" cy="472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0D728F4-428B-4950-9732-BBC6349640D1}" type="TxLink">
            <a:rPr lang="en-US" sz="2800" b="1" i="0" u="none" strike="noStrike">
              <a:solidFill>
                <a:srgbClr val="00204F"/>
              </a:solidFill>
              <a:latin typeface="Aptos Narrow" panose="020B0004020202020204" pitchFamily="34" charset="0"/>
              <a:ea typeface="Calibri"/>
              <a:cs typeface="Calibri"/>
            </a:rPr>
            <a:pPr marL="0" indent="0" algn="ctr"/>
            <a:t>93%</a:t>
          </a:fld>
          <a:endParaRPr lang="en-US" sz="2800" b="1" i="0" u="none" strike="noStrike">
            <a:solidFill>
              <a:srgbClr val="00204F"/>
            </a:solidFill>
            <a:latin typeface="Aptos Narrow" panose="020B0004020202020204" pitchFamily="34" charset="0"/>
            <a:ea typeface="Calibri"/>
            <a:cs typeface="Calibri"/>
          </a:endParaRPr>
        </a:p>
      </xdr:txBody>
    </xdr:sp>
    <xdr:clientData/>
  </xdr:twoCellAnchor>
  <xdr:twoCellAnchor>
    <xdr:from>
      <xdr:col>28</xdr:col>
      <xdr:colOff>40410</xdr:colOff>
      <xdr:row>10</xdr:row>
      <xdr:rowOff>25977</xdr:rowOff>
    </xdr:from>
    <xdr:to>
      <xdr:col>31</xdr:col>
      <xdr:colOff>378691</xdr:colOff>
      <xdr:row>12</xdr:row>
      <xdr:rowOff>123537</xdr:rowOff>
    </xdr:to>
    <xdr:sp macro="" textlink="Pivot!$C$16">
      <xdr:nvSpPr>
        <xdr:cNvPr id="36" name="TextBox 35">
          <a:extLst>
            <a:ext uri="{FF2B5EF4-FFF2-40B4-BE49-F238E27FC236}">
              <a16:creationId xmlns:a16="http://schemas.microsoft.com/office/drawing/2014/main" id="{3F595F1A-16D5-4F87-9647-1F7F7899FDC4}"/>
            </a:ext>
          </a:extLst>
        </xdr:cNvPr>
        <xdr:cNvSpPr txBox="1"/>
      </xdr:nvSpPr>
      <xdr:spPr>
        <a:xfrm>
          <a:off x="17012228" y="1902113"/>
          <a:ext cx="2156690" cy="472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29441F6-59B7-4E9C-9889-0947B6C4FC92}" type="TxLink">
            <a:rPr lang="en-US" sz="2400" b="1" i="0" u="none" strike="noStrike">
              <a:solidFill>
                <a:srgbClr val="00204F"/>
              </a:solidFill>
              <a:latin typeface="Aptos Narrow" panose="020B0004020202020204" pitchFamily="34" charset="0"/>
              <a:ea typeface="Calibri"/>
              <a:cs typeface="Calibri"/>
            </a:rPr>
            <a:pPr marL="0" indent="0" algn="ctr"/>
            <a:t>Rp11,953,100</a:t>
          </a:fld>
          <a:endParaRPr lang="en-US" sz="2400" b="1" i="0" u="none" strike="noStrike">
            <a:solidFill>
              <a:srgbClr val="00204F"/>
            </a:solidFill>
            <a:latin typeface="Aptos Narrow" panose="020B0004020202020204" pitchFamily="34" charset="0"/>
            <a:ea typeface="Calibri"/>
            <a:cs typeface="Calibri"/>
          </a:endParaRPr>
        </a:p>
      </xdr:txBody>
    </xdr:sp>
    <xdr:clientData/>
  </xdr:twoCellAnchor>
  <xdr:twoCellAnchor>
    <xdr:from>
      <xdr:col>1</xdr:col>
      <xdr:colOff>319233</xdr:colOff>
      <xdr:row>12</xdr:row>
      <xdr:rowOff>45026</xdr:rowOff>
    </xdr:from>
    <xdr:to>
      <xdr:col>4</xdr:col>
      <xdr:colOff>404091</xdr:colOff>
      <xdr:row>14</xdr:row>
      <xdr:rowOff>36944</xdr:rowOff>
    </xdr:to>
    <xdr:sp macro="" textlink="">
      <xdr:nvSpPr>
        <xdr:cNvPr id="39" name="TextBox 38">
          <a:extLst>
            <a:ext uri="{FF2B5EF4-FFF2-40B4-BE49-F238E27FC236}">
              <a16:creationId xmlns:a16="http://schemas.microsoft.com/office/drawing/2014/main" id="{006471AB-983C-405A-B148-7DE29972FB07}"/>
            </a:ext>
          </a:extLst>
        </xdr:cNvPr>
        <xdr:cNvSpPr txBox="1"/>
      </xdr:nvSpPr>
      <xdr:spPr>
        <a:xfrm>
          <a:off x="925369" y="2296390"/>
          <a:ext cx="1903267"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lumMod val="75000"/>
                </a:schemeClr>
              </a:solidFill>
              <a:latin typeface="Aptos Narrow" panose="020B0004020202020204" pitchFamily="34" charset="0"/>
              <a:ea typeface="Calibri"/>
              <a:cs typeface="Calibri"/>
            </a:rPr>
            <a:t>pendapatan periode ini</a:t>
          </a:r>
        </a:p>
      </xdr:txBody>
    </xdr:sp>
    <xdr:clientData/>
  </xdr:twoCellAnchor>
  <xdr:twoCellAnchor>
    <xdr:from>
      <xdr:col>6</xdr:col>
      <xdr:colOff>312883</xdr:colOff>
      <xdr:row>12</xdr:row>
      <xdr:rowOff>53108</xdr:rowOff>
    </xdr:from>
    <xdr:to>
      <xdr:col>9</xdr:col>
      <xdr:colOff>397741</xdr:colOff>
      <xdr:row>14</xdr:row>
      <xdr:rowOff>45026</xdr:rowOff>
    </xdr:to>
    <xdr:sp macro="" textlink="">
      <xdr:nvSpPr>
        <xdr:cNvPr id="40" name="TextBox 39">
          <a:extLst>
            <a:ext uri="{FF2B5EF4-FFF2-40B4-BE49-F238E27FC236}">
              <a16:creationId xmlns:a16="http://schemas.microsoft.com/office/drawing/2014/main" id="{0348A4C9-B50E-4554-A25F-EF88F55A4F50}"/>
            </a:ext>
          </a:extLst>
        </xdr:cNvPr>
        <xdr:cNvSpPr txBox="1"/>
      </xdr:nvSpPr>
      <xdr:spPr>
        <a:xfrm>
          <a:off x="3949701" y="2304472"/>
          <a:ext cx="1903267"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lumMod val="75000"/>
                </a:schemeClr>
              </a:solidFill>
              <a:latin typeface="Aptos Narrow" panose="020B0004020202020204" pitchFamily="34" charset="0"/>
              <a:ea typeface="Calibri"/>
              <a:cs typeface="Calibri"/>
            </a:rPr>
            <a:t>beban periode ini</a:t>
          </a:r>
        </a:p>
      </xdr:txBody>
    </xdr:sp>
    <xdr:clientData/>
  </xdr:twoCellAnchor>
  <xdr:twoCellAnchor>
    <xdr:from>
      <xdr:col>11</xdr:col>
      <xdr:colOff>61192</xdr:colOff>
      <xdr:row>12</xdr:row>
      <xdr:rowOff>75621</xdr:rowOff>
    </xdr:from>
    <xdr:to>
      <xdr:col>15</xdr:col>
      <xdr:colOff>447387</xdr:colOff>
      <xdr:row>14</xdr:row>
      <xdr:rowOff>67539</xdr:rowOff>
    </xdr:to>
    <xdr:sp macro="" textlink="">
      <xdr:nvSpPr>
        <xdr:cNvPr id="41" name="TextBox 40">
          <a:extLst>
            <a:ext uri="{FF2B5EF4-FFF2-40B4-BE49-F238E27FC236}">
              <a16:creationId xmlns:a16="http://schemas.microsoft.com/office/drawing/2014/main" id="{38A6E903-2759-418A-982A-A0B33F70E3E3}"/>
            </a:ext>
          </a:extLst>
        </xdr:cNvPr>
        <xdr:cNvSpPr txBox="1"/>
      </xdr:nvSpPr>
      <xdr:spPr>
        <a:xfrm>
          <a:off x="6728692" y="2326985"/>
          <a:ext cx="2810740"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lumMod val="75000"/>
                </a:schemeClr>
              </a:solidFill>
              <a:latin typeface="Aptos Narrow" panose="020B0004020202020204" pitchFamily="34" charset="0"/>
              <a:ea typeface="Calibri"/>
              <a:cs typeface="Calibri"/>
            </a:rPr>
            <a:t>Sisa Pendapatan</a:t>
          </a:r>
        </a:p>
      </xdr:txBody>
    </xdr:sp>
    <xdr:clientData/>
  </xdr:twoCellAnchor>
  <xdr:twoCellAnchor>
    <xdr:from>
      <xdr:col>17</xdr:col>
      <xdr:colOff>83706</xdr:colOff>
      <xdr:row>12</xdr:row>
      <xdr:rowOff>69271</xdr:rowOff>
    </xdr:from>
    <xdr:to>
      <xdr:col>20</xdr:col>
      <xdr:colOff>57727</xdr:colOff>
      <xdr:row>14</xdr:row>
      <xdr:rowOff>61189</xdr:rowOff>
    </xdr:to>
    <xdr:sp macro="" textlink="">
      <xdr:nvSpPr>
        <xdr:cNvPr id="42" name="TextBox 41">
          <a:extLst>
            <a:ext uri="{FF2B5EF4-FFF2-40B4-BE49-F238E27FC236}">
              <a16:creationId xmlns:a16="http://schemas.microsoft.com/office/drawing/2014/main" id="{E313B2B3-51F0-4BE6-898C-A1B884FB07B5}"/>
            </a:ext>
          </a:extLst>
        </xdr:cNvPr>
        <xdr:cNvSpPr txBox="1"/>
      </xdr:nvSpPr>
      <xdr:spPr>
        <a:xfrm>
          <a:off x="10388024" y="2320635"/>
          <a:ext cx="1792430"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lumMod val="75000"/>
                </a:schemeClr>
              </a:solidFill>
              <a:latin typeface="Aptos Narrow" panose="020B0004020202020204" pitchFamily="34" charset="0"/>
              <a:ea typeface="Calibri"/>
              <a:cs typeface="Calibri"/>
            </a:rPr>
            <a:t>total pendapatan</a:t>
          </a:r>
        </a:p>
      </xdr:txBody>
    </xdr:sp>
    <xdr:clientData/>
  </xdr:twoCellAnchor>
  <xdr:twoCellAnchor>
    <xdr:from>
      <xdr:col>22</xdr:col>
      <xdr:colOff>351559</xdr:colOff>
      <xdr:row>12</xdr:row>
      <xdr:rowOff>48490</xdr:rowOff>
    </xdr:from>
    <xdr:to>
      <xdr:col>26</xdr:col>
      <xdr:colOff>28863</xdr:colOff>
      <xdr:row>14</xdr:row>
      <xdr:rowOff>40408</xdr:rowOff>
    </xdr:to>
    <xdr:sp macro="" textlink="">
      <xdr:nvSpPr>
        <xdr:cNvPr id="43" name="TextBox 42">
          <a:extLst>
            <a:ext uri="{FF2B5EF4-FFF2-40B4-BE49-F238E27FC236}">
              <a16:creationId xmlns:a16="http://schemas.microsoft.com/office/drawing/2014/main" id="{32F00819-9B05-4977-B36B-477BD85CECF2}"/>
            </a:ext>
          </a:extLst>
        </xdr:cNvPr>
        <xdr:cNvSpPr txBox="1"/>
      </xdr:nvSpPr>
      <xdr:spPr>
        <a:xfrm>
          <a:off x="13686559" y="2299854"/>
          <a:ext cx="2101849"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lumMod val="75000"/>
                </a:schemeClr>
              </a:solidFill>
              <a:latin typeface="Aptos Narrow" panose="020B0004020202020204" pitchFamily="34" charset="0"/>
              <a:ea typeface="Calibri"/>
              <a:cs typeface="Calibri"/>
            </a:rPr>
            <a:t>Pengeluaran</a:t>
          </a:r>
          <a:r>
            <a:rPr lang="en-US" sz="1400" b="1" i="0" u="none" strike="noStrike" baseline="0">
              <a:solidFill>
                <a:schemeClr val="bg1">
                  <a:lumMod val="75000"/>
                </a:schemeClr>
              </a:solidFill>
              <a:latin typeface="Aptos Narrow" panose="020B0004020202020204" pitchFamily="34" charset="0"/>
              <a:ea typeface="Calibri"/>
              <a:cs typeface="Calibri"/>
            </a:rPr>
            <a:t> vs Anggaran</a:t>
          </a:r>
          <a:endParaRPr lang="en-US" sz="1400" b="1" i="0" u="none" strike="noStrike">
            <a:solidFill>
              <a:schemeClr val="bg1">
                <a:lumMod val="75000"/>
              </a:schemeClr>
            </a:solidFill>
            <a:latin typeface="Aptos Narrow" panose="020B0004020202020204" pitchFamily="34" charset="0"/>
            <a:ea typeface="Calibri"/>
            <a:cs typeface="Calibri"/>
          </a:endParaRPr>
        </a:p>
      </xdr:txBody>
    </xdr:sp>
    <xdr:clientData/>
  </xdr:twoCellAnchor>
  <xdr:twoCellAnchor>
    <xdr:from>
      <xdr:col>28</xdr:col>
      <xdr:colOff>316347</xdr:colOff>
      <xdr:row>12</xdr:row>
      <xdr:rowOff>71004</xdr:rowOff>
    </xdr:from>
    <xdr:to>
      <xdr:col>30</xdr:col>
      <xdr:colOff>389660</xdr:colOff>
      <xdr:row>14</xdr:row>
      <xdr:rowOff>62922</xdr:rowOff>
    </xdr:to>
    <xdr:sp macro="" textlink="">
      <xdr:nvSpPr>
        <xdr:cNvPr id="44" name="TextBox 43">
          <a:extLst>
            <a:ext uri="{FF2B5EF4-FFF2-40B4-BE49-F238E27FC236}">
              <a16:creationId xmlns:a16="http://schemas.microsoft.com/office/drawing/2014/main" id="{6D790C7B-9130-4024-A473-2A15C9CC8962}"/>
            </a:ext>
          </a:extLst>
        </xdr:cNvPr>
        <xdr:cNvSpPr txBox="1"/>
      </xdr:nvSpPr>
      <xdr:spPr>
        <a:xfrm>
          <a:off x="17288165" y="2322368"/>
          <a:ext cx="1285586"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lumMod val="75000"/>
                </a:schemeClr>
              </a:solidFill>
              <a:latin typeface="Aptos Narrow" panose="020B0004020202020204" pitchFamily="34" charset="0"/>
              <a:ea typeface="Calibri"/>
              <a:cs typeface="Calibri"/>
            </a:rPr>
            <a:t>Saldo Terkini</a:t>
          </a:r>
        </a:p>
      </xdr:txBody>
    </xdr:sp>
    <xdr:clientData/>
  </xdr:twoCellAnchor>
  <xdr:twoCellAnchor>
    <xdr:from>
      <xdr:col>0</xdr:col>
      <xdr:colOff>129888</xdr:colOff>
      <xdr:row>15</xdr:row>
      <xdr:rowOff>104321</xdr:rowOff>
    </xdr:from>
    <xdr:to>
      <xdr:col>2</xdr:col>
      <xdr:colOff>415215</xdr:colOff>
      <xdr:row>52</xdr:row>
      <xdr:rowOff>86590</xdr:rowOff>
    </xdr:to>
    <xdr:sp macro="" textlink="">
      <xdr:nvSpPr>
        <xdr:cNvPr id="45" name="Rectangle: Rounded Corners 44">
          <a:extLst>
            <a:ext uri="{FF2B5EF4-FFF2-40B4-BE49-F238E27FC236}">
              <a16:creationId xmlns:a16="http://schemas.microsoft.com/office/drawing/2014/main" id="{CBE7BE7C-1799-412E-A082-937586C12A8D}"/>
            </a:ext>
          </a:extLst>
        </xdr:cNvPr>
        <xdr:cNvSpPr/>
      </xdr:nvSpPr>
      <xdr:spPr>
        <a:xfrm>
          <a:off x="129888" y="2918526"/>
          <a:ext cx="1497600" cy="692397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455470</xdr:colOff>
      <xdr:row>15</xdr:row>
      <xdr:rowOff>112404</xdr:rowOff>
    </xdr:from>
    <xdr:to>
      <xdr:col>12</xdr:col>
      <xdr:colOff>262107</xdr:colOff>
      <xdr:row>34</xdr:row>
      <xdr:rowOff>90145</xdr:rowOff>
    </xdr:to>
    <xdr:sp macro="" textlink="">
      <xdr:nvSpPr>
        <xdr:cNvPr id="46" name="Rectangle: Rounded Corners 45">
          <a:extLst>
            <a:ext uri="{FF2B5EF4-FFF2-40B4-BE49-F238E27FC236}">
              <a16:creationId xmlns:a16="http://schemas.microsoft.com/office/drawing/2014/main" id="{6FDA2754-F3D8-4E7D-9404-7B27B92828BA}"/>
            </a:ext>
          </a:extLst>
        </xdr:cNvPr>
        <xdr:cNvSpPr/>
      </xdr:nvSpPr>
      <xdr:spPr>
        <a:xfrm>
          <a:off x="1667743" y="2926609"/>
          <a:ext cx="5868000" cy="3542400"/>
        </a:xfrm>
        <a:prstGeom prst="roundRect">
          <a:avLst>
            <a:gd name="adj" fmla="val 363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492414</xdr:colOff>
      <xdr:row>34</xdr:row>
      <xdr:rowOff>149350</xdr:rowOff>
    </xdr:from>
    <xdr:to>
      <xdr:col>9</xdr:col>
      <xdr:colOff>576660</xdr:colOff>
      <xdr:row>52</xdr:row>
      <xdr:rowOff>86591</xdr:rowOff>
    </xdr:to>
    <xdr:sp macro="" textlink="">
      <xdr:nvSpPr>
        <xdr:cNvPr id="47" name="Rectangle: Rounded Corners 46">
          <a:extLst>
            <a:ext uri="{FF2B5EF4-FFF2-40B4-BE49-F238E27FC236}">
              <a16:creationId xmlns:a16="http://schemas.microsoft.com/office/drawing/2014/main" id="{6DBC72B0-5431-44CE-A7A3-53240A06FEF2}"/>
            </a:ext>
          </a:extLst>
        </xdr:cNvPr>
        <xdr:cNvSpPr/>
      </xdr:nvSpPr>
      <xdr:spPr>
        <a:xfrm>
          <a:off x="1704687" y="6528214"/>
          <a:ext cx="4327200" cy="3314286"/>
        </a:xfrm>
        <a:prstGeom prst="roundRect">
          <a:avLst>
            <a:gd name="adj" fmla="val 598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304801</xdr:colOff>
      <xdr:row>15</xdr:row>
      <xdr:rowOff>91622</xdr:rowOff>
    </xdr:from>
    <xdr:to>
      <xdr:col>18</xdr:col>
      <xdr:colOff>548782</xdr:colOff>
      <xdr:row>34</xdr:row>
      <xdr:rowOff>69363</xdr:rowOff>
    </xdr:to>
    <xdr:sp macro="" textlink="">
      <xdr:nvSpPr>
        <xdr:cNvPr id="48" name="Rectangle: Rounded Corners 47">
          <a:extLst>
            <a:ext uri="{FF2B5EF4-FFF2-40B4-BE49-F238E27FC236}">
              <a16:creationId xmlns:a16="http://schemas.microsoft.com/office/drawing/2014/main" id="{C1D2B32E-50B0-42EB-A86A-4982360E8CA7}"/>
            </a:ext>
          </a:extLst>
        </xdr:cNvPr>
        <xdr:cNvSpPr/>
      </xdr:nvSpPr>
      <xdr:spPr>
        <a:xfrm>
          <a:off x="7578437" y="2905827"/>
          <a:ext cx="3880800" cy="3542400"/>
        </a:xfrm>
        <a:prstGeom prst="roundRect">
          <a:avLst>
            <a:gd name="adj" fmla="val 322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18</xdr:col>
      <xdr:colOff>601517</xdr:colOff>
      <xdr:row>15</xdr:row>
      <xdr:rowOff>70840</xdr:rowOff>
    </xdr:from>
    <xdr:to>
      <xdr:col>25</xdr:col>
      <xdr:colOff>239363</xdr:colOff>
      <xdr:row>34</xdr:row>
      <xdr:rowOff>48581</xdr:rowOff>
    </xdr:to>
    <xdr:sp macro="" textlink="">
      <xdr:nvSpPr>
        <xdr:cNvPr id="49" name="Rectangle: Rounded Corners 48">
          <a:extLst>
            <a:ext uri="{FF2B5EF4-FFF2-40B4-BE49-F238E27FC236}">
              <a16:creationId xmlns:a16="http://schemas.microsoft.com/office/drawing/2014/main" id="{F7DA9173-AD86-43D0-8DAB-F2C21F5DA895}"/>
            </a:ext>
          </a:extLst>
        </xdr:cNvPr>
        <xdr:cNvSpPr/>
      </xdr:nvSpPr>
      <xdr:spPr>
        <a:xfrm>
          <a:off x="11511972" y="2885045"/>
          <a:ext cx="3880800" cy="3542400"/>
        </a:xfrm>
        <a:prstGeom prst="roundRect">
          <a:avLst>
            <a:gd name="adj" fmla="val 363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25</xdr:col>
      <xdr:colOff>306533</xdr:colOff>
      <xdr:row>15</xdr:row>
      <xdr:rowOff>50058</xdr:rowOff>
    </xdr:from>
    <xdr:to>
      <xdr:col>31</xdr:col>
      <xdr:colOff>550515</xdr:colOff>
      <xdr:row>34</xdr:row>
      <xdr:rowOff>27799</xdr:rowOff>
    </xdr:to>
    <xdr:sp macro="" textlink="">
      <xdr:nvSpPr>
        <xdr:cNvPr id="50" name="Rectangle: Rounded Corners 49">
          <a:extLst>
            <a:ext uri="{FF2B5EF4-FFF2-40B4-BE49-F238E27FC236}">
              <a16:creationId xmlns:a16="http://schemas.microsoft.com/office/drawing/2014/main" id="{D019A4AC-F861-4FAB-B659-576AF92A110C}"/>
            </a:ext>
          </a:extLst>
        </xdr:cNvPr>
        <xdr:cNvSpPr/>
      </xdr:nvSpPr>
      <xdr:spPr>
        <a:xfrm>
          <a:off x="15459942" y="2864263"/>
          <a:ext cx="3880800" cy="3542400"/>
        </a:xfrm>
        <a:prstGeom prst="roundRect">
          <a:avLst>
            <a:gd name="adj" fmla="val 403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24246</xdr:colOff>
      <xdr:row>34</xdr:row>
      <xdr:rowOff>128567</xdr:rowOff>
    </xdr:from>
    <xdr:to>
      <xdr:col>16</xdr:col>
      <xdr:colOff>268228</xdr:colOff>
      <xdr:row>52</xdr:row>
      <xdr:rowOff>101023</xdr:rowOff>
    </xdr:to>
    <xdr:sp macro="" textlink="">
      <xdr:nvSpPr>
        <xdr:cNvPr id="51" name="Rectangle: Rounded Corners 50">
          <a:extLst>
            <a:ext uri="{FF2B5EF4-FFF2-40B4-BE49-F238E27FC236}">
              <a16:creationId xmlns:a16="http://schemas.microsoft.com/office/drawing/2014/main" id="{8583586D-F7F2-4024-89DB-6525EC71F646}"/>
            </a:ext>
          </a:extLst>
        </xdr:cNvPr>
        <xdr:cNvSpPr/>
      </xdr:nvSpPr>
      <xdr:spPr>
        <a:xfrm>
          <a:off x="6085610" y="6507431"/>
          <a:ext cx="3880800" cy="3349501"/>
        </a:xfrm>
        <a:prstGeom prst="roundRect">
          <a:avLst>
            <a:gd name="adj" fmla="val 877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364260</xdr:colOff>
      <xdr:row>34</xdr:row>
      <xdr:rowOff>151081</xdr:rowOff>
    </xdr:from>
    <xdr:to>
      <xdr:col>24</xdr:col>
      <xdr:colOff>404091</xdr:colOff>
      <xdr:row>52</xdr:row>
      <xdr:rowOff>101024</xdr:rowOff>
    </xdr:to>
    <xdr:sp macro="" textlink="">
      <xdr:nvSpPr>
        <xdr:cNvPr id="52" name="Rectangle: Rounded Corners 51">
          <a:extLst>
            <a:ext uri="{FF2B5EF4-FFF2-40B4-BE49-F238E27FC236}">
              <a16:creationId xmlns:a16="http://schemas.microsoft.com/office/drawing/2014/main" id="{D01F07AB-15E1-4FD0-8DD5-14B74CB03CC2}"/>
            </a:ext>
          </a:extLst>
        </xdr:cNvPr>
        <xdr:cNvSpPr/>
      </xdr:nvSpPr>
      <xdr:spPr>
        <a:xfrm>
          <a:off x="10062442" y="6529945"/>
          <a:ext cx="4888922" cy="3326988"/>
        </a:xfrm>
        <a:prstGeom prst="roundRect">
          <a:avLst>
            <a:gd name="adj" fmla="val 849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479713</xdr:colOff>
      <xdr:row>34</xdr:row>
      <xdr:rowOff>93353</xdr:rowOff>
    </xdr:from>
    <xdr:to>
      <xdr:col>31</xdr:col>
      <xdr:colOff>533978</xdr:colOff>
      <xdr:row>52</xdr:row>
      <xdr:rowOff>101023</xdr:rowOff>
    </xdr:to>
    <xdr:sp macro="" textlink="">
      <xdr:nvSpPr>
        <xdr:cNvPr id="53" name="Rectangle: Rounded Corners 52">
          <a:extLst>
            <a:ext uri="{FF2B5EF4-FFF2-40B4-BE49-F238E27FC236}">
              <a16:creationId xmlns:a16="http://schemas.microsoft.com/office/drawing/2014/main" id="{B46E2FCD-7081-4E4D-97EE-F6DDB61022E7}"/>
            </a:ext>
          </a:extLst>
        </xdr:cNvPr>
        <xdr:cNvSpPr/>
      </xdr:nvSpPr>
      <xdr:spPr>
        <a:xfrm>
          <a:off x="15026986" y="6472217"/>
          <a:ext cx="4297219" cy="3384715"/>
        </a:xfrm>
        <a:prstGeom prst="roundRect">
          <a:avLst>
            <a:gd name="adj" fmla="val 728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461818</xdr:colOff>
      <xdr:row>15</xdr:row>
      <xdr:rowOff>57727</xdr:rowOff>
    </xdr:from>
    <xdr:to>
      <xdr:col>12</xdr:col>
      <xdr:colOff>245341</xdr:colOff>
      <xdr:row>34</xdr:row>
      <xdr:rowOff>101021</xdr:rowOff>
    </xdr:to>
    <xdr:graphicFrame macro="">
      <xdr:nvGraphicFramePr>
        <xdr:cNvPr id="55" name="Chart 54">
          <a:extLst>
            <a:ext uri="{FF2B5EF4-FFF2-40B4-BE49-F238E27FC236}">
              <a16:creationId xmlns:a16="http://schemas.microsoft.com/office/drawing/2014/main" id="{42E651D2-EBE7-4CE1-B560-69C322D11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304801</xdr:colOff>
      <xdr:row>15</xdr:row>
      <xdr:rowOff>91622</xdr:rowOff>
    </xdr:from>
    <xdr:to>
      <xdr:col>18</xdr:col>
      <xdr:colOff>533977</xdr:colOff>
      <xdr:row>34</xdr:row>
      <xdr:rowOff>57727</xdr:rowOff>
    </xdr:to>
    <xdr:graphicFrame macro="">
      <xdr:nvGraphicFramePr>
        <xdr:cNvPr id="56" name="Chart 55">
          <a:extLst>
            <a:ext uri="{FF2B5EF4-FFF2-40B4-BE49-F238E27FC236}">
              <a16:creationId xmlns:a16="http://schemas.microsoft.com/office/drawing/2014/main" id="{E8A5E788-ABFD-4B27-B983-B4C4F4368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601517</xdr:colOff>
      <xdr:row>15</xdr:row>
      <xdr:rowOff>43296</xdr:rowOff>
    </xdr:from>
    <xdr:to>
      <xdr:col>25</xdr:col>
      <xdr:colOff>245341</xdr:colOff>
      <xdr:row>34</xdr:row>
      <xdr:rowOff>28863</xdr:rowOff>
    </xdr:to>
    <xdr:graphicFrame macro="">
      <xdr:nvGraphicFramePr>
        <xdr:cNvPr id="57" name="Chart 56">
          <a:extLst>
            <a:ext uri="{FF2B5EF4-FFF2-40B4-BE49-F238E27FC236}">
              <a16:creationId xmlns:a16="http://schemas.microsoft.com/office/drawing/2014/main" id="{E9B235D3-ABE7-4663-8E60-DBF551D8C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278424</xdr:colOff>
      <xdr:row>15</xdr:row>
      <xdr:rowOff>58616</xdr:rowOff>
    </xdr:from>
    <xdr:to>
      <xdr:col>31</xdr:col>
      <xdr:colOff>542326</xdr:colOff>
      <xdr:row>34</xdr:row>
      <xdr:rowOff>0</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EF138AE3-959A-454B-A7EE-FDA14D9AF7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5664962" y="2916116"/>
              <a:ext cx="3956672" cy="35608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484296</xdr:colOff>
      <xdr:row>34</xdr:row>
      <xdr:rowOff>148828</xdr:rowOff>
    </xdr:from>
    <xdr:to>
      <xdr:col>9</xdr:col>
      <xdr:colOff>565547</xdr:colOff>
      <xdr:row>52</xdr:row>
      <xdr:rowOff>74413</xdr:rowOff>
    </xdr:to>
    <xdr:graphicFrame macro="">
      <xdr:nvGraphicFramePr>
        <xdr:cNvPr id="59" name="Chart 58">
          <a:extLst>
            <a:ext uri="{FF2B5EF4-FFF2-40B4-BE49-F238E27FC236}">
              <a16:creationId xmlns:a16="http://schemas.microsoft.com/office/drawing/2014/main" id="{3F9188F4-76E5-4FA8-A697-D30F387AF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74413</xdr:colOff>
      <xdr:row>34</xdr:row>
      <xdr:rowOff>148828</xdr:rowOff>
    </xdr:from>
    <xdr:to>
      <xdr:col>16</xdr:col>
      <xdr:colOff>238124</xdr:colOff>
      <xdr:row>52</xdr:row>
      <xdr:rowOff>74414</xdr:rowOff>
    </xdr:to>
    <xdr:graphicFrame macro="">
      <xdr:nvGraphicFramePr>
        <xdr:cNvPr id="60" name="Chart 59">
          <a:extLst>
            <a:ext uri="{FF2B5EF4-FFF2-40B4-BE49-F238E27FC236}">
              <a16:creationId xmlns:a16="http://schemas.microsoft.com/office/drawing/2014/main" id="{3DDA9592-9C11-4479-9D62-99ADC744C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364259</xdr:colOff>
      <xdr:row>34</xdr:row>
      <xdr:rowOff>151080</xdr:rowOff>
    </xdr:from>
    <xdr:to>
      <xdr:col>24</xdr:col>
      <xdr:colOff>418521</xdr:colOff>
      <xdr:row>52</xdr:row>
      <xdr:rowOff>86590</xdr:rowOff>
    </xdr:to>
    <xdr:graphicFrame macro="">
      <xdr:nvGraphicFramePr>
        <xdr:cNvPr id="61" name="Chart 60">
          <a:extLst>
            <a:ext uri="{FF2B5EF4-FFF2-40B4-BE49-F238E27FC236}">
              <a16:creationId xmlns:a16="http://schemas.microsoft.com/office/drawing/2014/main" id="{4CF6063D-55AF-423A-8FE3-5676B6224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479713</xdr:colOff>
      <xdr:row>34</xdr:row>
      <xdr:rowOff>93352</xdr:rowOff>
    </xdr:from>
    <xdr:to>
      <xdr:col>31</xdr:col>
      <xdr:colOff>519546</xdr:colOff>
      <xdr:row>52</xdr:row>
      <xdr:rowOff>72158</xdr:rowOff>
    </xdr:to>
    <xdr:graphicFrame macro="">
      <xdr:nvGraphicFramePr>
        <xdr:cNvPr id="3072" name="Chart 3071">
          <a:extLst>
            <a:ext uri="{FF2B5EF4-FFF2-40B4-BE49-F238E27FC236}">
              <a16:creationId xmlns:a16="http://schemas.microsoft.com/office/drawing/2014/main" id="{ACFD6D62-8D3D-4490-B06C-43A772EA6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259773</xdr:colOff>
      <xdr:row>15</xdr:row>
      <xdr:rowOff>162048</xdr:rowOff>
    </xdr:from>
    <xdr:to>
      <xdr:col>2</xdr:col>
      <xdr:colOff>288636</xdr:colOff>
      <xdr:row>39</xdr:row>
      <xdr:rowOff>144318</xdr:rowOff>
    </xdr:to>
    <mc:AlternateContent xmlns:mc="http://schemas.openxmlformats.org/markup-compatibility/2006">
      <mc:Choice xmlns:a14="http://schemas.microsoft.com/office/drawing/2010/main" Requires="a14">
        <xdr:graphicFrame macro="">
          <xdr:nvGraphicFramePr>
            <xdr:cNvPr id="3074" name="Month">
              <a:extLst>
                <a:ext uri="{FF2B5EF4-FFF2-40B4-BE49-F238E27FC236}">
                  <a16:creationId xmlns:a16="http://schemas.microsoft.com/office/drawing/2014/main" id="{17EF5362-38DA-432F-B28A-0EF1DC101CC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59773" y="2976253"/>
              <a:ext cx="1241136" cy="44849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245342</xdr:colOff>
      <xdr:row>39</xdr:row>
      <xdr:rowOff>141266</xdr:rowOff>
    </xdr:from>
    <xdr:to>
      <xdr:col>2</xdr:col>
      <xdr:colOff>274205</xdr:colOff>
      <xdr:row>46</xdr:row>
      <xdr:rowOff>86591</xdr:rowOff>
    </xdr:to>
    <mc:AlternateContent xmlns:mc="http://schemas.openxmlformats.org/markup-compatibility/2006">
      <mc:Choice xmlns:a14="http://schemas.microsoft.com/office/drawing/2010/main" Requires="a14">
        <xdr:graphicFrame macro="">
          <xdr:nvGraphicFramePr>
            <xdr:cNvPr id="3075" name="Account">
              <a:extLst>
                <a:ext uri="{FF2B5EF4-FFF2-40B4-BE49-F238E27FC236}">
                  <a16:creationId xmlns:a16="http://schemas.microsoft.com/office/drawing/2014/main" id="{1AF1D47A-0DE8-41F3-873A-29AA0341B6B0}"/>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dr:sp macro="" textlink="">
          <xdr:nvSpPr>
            <xdr:cNvPr id="0" name=""/>
            <xdr:cNvSpPr>
              <a:spLocks noTextEdit="1"/>
            </xdr:cNvSpPr>
          </xdr:nvSpPr>
          <xdr:spPr>
            <a:xfrm>
              <a:off x="245342" y="7458198"/>
              <a:ext cx="1241136" cy="1258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591705</xdr:colOff>
      <xdr:row>1</xdr:row>
      <xdr:rowOff>0</xdr:rowOff>
    </xdr:from>
    <xdr:to>
      <xdr:col>28</xdr:col>
      <xdr:colOff>288636</xdr:colOff>
      <xdr:row>5</xdr:row>
      <xdr:rowOff>158750</xdr:rowOff>
    </xdr:to>
    <xdr:pic macro="[0]!Picture3075_Click">
      <xdr:nvPicPr>
        <xdr:cNvPr id="3076" name="Picture 3075">
          <a:extLst>
            <a:ext uri="{FF2B5EF4-FFF2-40B4-BE49-F238E27FC236}">
              <a16:creationId xmlns:a16="http://schemas.microsoft.com/office/drawing/2014/main" id="{E7E8249C-6285-736E-8B31-62D5F6527CB7}"/>
            </a:ext>
          </a:extLst>
        </xdr:cNvPr>
        <xdr:cNvPicPr>
          <a:picLocks noChangeAspect="1"/>
        </xdr:cNvPicPr>
      </xdr:nvPicPr>
      <xdr:blipFill>
        <a:blip xmlns:r="http://schemas.openxmlformats.org/officeDocument/2006/relationships" r:embed="rId17"/>
        <a:stretch>
          <a:fillRect/>
        </a:stretch>
      </xdr:blipFill>
      <xdr:spPr>
        <a:xfrm>
          <a:off x="16351250" y="187614"/>
          <a:ext cx="909204" cy="90920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MAS" refreshedDate="46290.826306481482" createdVersion="8" refreshedVersion="8" minRefreshableVersion="3" recordCount="441" xr:uid="{B5F54037-52FA-41A0-AAD7-D74339106692}">
  <cacheSource type="worksheet">
    <worksheetSource name="tblTransactions"/>
  </cacheSource>
  <cacheFields count="21">
    <cacheField name="Transaction ID" numFmtId="0">
      <sharedItems/>
    </cacheField>
    <cacheField name="Date" numFmtId="164">
      <sharedItems containsSemiMixedTypes="0" containsNonDate="0" containsDate="1" containsString="0" minDate="2026-01-01T00:00:00" maxDate="2027-01-01T00:00:00"/>
    </cacheField>
    <cacheField name="Year" numFmtId="0">
      <sharedItems containsSemiMixedTypes="0" containsString="0" containsNumber="1" containsInteger="1" minValue="2026" maxValue="2026"/>
    </cacheField>
    <cacheField name="Account" numFmtId="0">
      <sharedItems count="3">
        <s v="Savings"/>
        <s v="Credit Card"/>
        <s v="Wallet"/>
      </sharedItems>
    </cacheField>
    <cacheField name="Bank" numFmtId="0">
      <sharedItems count="7">
        <s v="BSI"/>
        <s v="BRI"/>
        <s v="Mandiri"/>
        <s v="CIMB Niaga"/>
        <s v="BCA"/>
        <s v="BNI"/>
        <s v="Bank Indonesia" u="1"/>
      </sharedItems>
    </cacheField>
    <cacheField name="Transaction Type" numFmtId="0">
      <sharedItems count="2">
        <s v="Expense"/>
        <s v="Income"/>
      </sharedItems>
    </cacheField>
    <cacheField name="Category" numFmtId="0">
      <sharedItems count="12">
        <s v="Rent"/>
        <s v="Interest"/>
        <s v="Fuel"/>
        <s v="Bonus"/>
        <s v="Healthcare"/>
        <s v="Shopping"/>
        <s v="Internet"/>
        <s v="Dining"/>
        <s v="Freelancing"/>
        <s v="Salary"/>
        <s v="Electricity"/>
        <s v="Grocery"/>
      </sharedItems>
    </cacheField>
    <cacheField name="Sub Category" numFmtId="0">
      <sharedItems/>
    </cacheField>
    <cacheField name="Payment Method" numFmtId="0">
      <sharedItems count="6">
        <s v="Cash"/>
        <s v="Net Banking"/>
        <s v="Debit Card"/>
        <s v="UPI"/>
        <s v="Bank Transfer"/>
        <s v="Credit Card"/>
      </sharedItems>
    </cacheField>
    <cacheField name="Merchant" numFmtId="0">
      <sharedItems/>
    </cacheField>
    <cacheField name="Description" numFmtId="0">
      <sharedItems/>
    </cacheField>
    <cacheField name="Amount (Rp)" numFmtId="165">
      <sharedItems containsSemiMixedTypes="0" containsString="0" containsNumber="1" containsInteger="1" minValue="12200" maxValue="7994400"/>
    </cacheField>
    <cacheField name="Budget (Rp)" numFmtId="165">
      <sharedItems containsSemiMixedTypes="0" containsString="0" containsNumber="1" containsInteger="1" minValue="0" maxValue="1997200"/>
    </cacheField>
    <cacheField name="Savings Goal" numFmtId="0">
      <sharedItems count="4">
        <s v="Vacation"/>
        <s v="Emergency Fund"/>
        <s v="Investment"/>
        <s v="Car"/>
      </sharedItems>
    </cacheField>
    <cacheField name="Location" numFmtId="0">
      <sharedItems/>
    </cacheField>
    <cacheField name="Status" numFmtId="0">
      <sharedItems/>
    </cacheField>
    <cacheField name="Recurring" numFmtId="0">
      <sharedItems/>
    </cacheField>
    <cacheField name="Tax Deductible" numFmtId="0">
      <sharedItems/>
    </cacheField>
    <cacheField name="Balance After Transaction (Rp)" numFmtId="165">
      <sharedItems containsSemiMixedTypes="0" containsString="0" containsNumber="1" containsInteger="1" minValue="-39212600" maxValue="49111700"/>
    </cacheField>
    <cacheField name="Month" numFmtId="0">
      <sharedItems count="12">
        <s v="Jan"/>
        <s v="Feb"/>
        <s v="Mar"/>
        <s v="Apr"/>
        <s v="May"/>
        <s v="Jun"/>
        <s v="Jul"/>
        <s v="Aug"/>
        <s v="Sep"/>
        <s v="Oct"/>
        <s v="Nov"/>
        <s v="Dec"/>
      </sharedItems>
    </cacheField>
    <cacheField name="Month No"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888054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1">
  <r>
    <s v="TXN0002"/>
    <d v="2026-01-02T00:00:00"/>
    <n v="2026"/>
    <x v="0"/>
    <x v="0"/>
    <x v="0"/>
    <x v="0"/>
    <s v="House Rent"/>
    <x v="0"/>
    <s v="PT Sejahtera Makmur"/>
    <s v="House Rent"/>
    <n v="936400"/>
    <n v="931900"/>
    <x v="0"/>
    <s v="Surabaya"/>
    <s v="Completed"/>
    <s v="Yes"/>
    <s v="No"/>
    <n v="-936400"/>
    <x v="0"/>
    <n v="1"/>
  </r>
  <r>
    <s v="TXN0003"/>
    <d v="2026-01-03T00:00:00"/>
    <n v="2026"/>
    <x v="0"/>
    <x v="1"/>
    <x v="1"/>
    <x v="1"/>
    <s v="Interest"/>
    <x v="1"/>
    <s v="Apotek Kimia Farma"/>
    <s v="Interest"/>
    <n v="4540400"/>
    <n v="0"/>
    <x v="1"/>
    <s v="Jakarta"/>
    <s v="Completed"/>
    <s v="No"/>
    <s v="Yes"/>
    <n v="3604000"/>
    <x v="0"/>
    <n v="1"/>
  </r>
  <r>
    <s v="TXN0004"/>
    <d v="2026-01-04T00:00:00"/>
    <n v="2026"/>
    <x v="1"/>
    <x v="2"/>
    <x v="0"/>
    <x v="2"/>
    <s v="Petrol"/>
    <x v="2"/>
    <s v="Tokopedia"/>
    <s v="Petrol"/>
    <n v="326800"/>
    <n v="209900"/>
    <x v="0"/>
    <s v="Semarang"/>
    <s v="Completed"/>
    <s v="Yes"/>
    <s v="No"/>
    <n v="3277200"/>
    <x v="0"/>
    <n v="1"/>
  </r>
  <r>
    <s v="TXN0006"/>
    <d v="2026-01-06T00:00:00"/>
    <n v="2026"/>
    <x v="0"/>
    <x v="3"/>
    <x v="1"/>
    <x v="3"/>
    <s v="Bonus"/>
    <x v="3"/>
    <s v="Apotek Kimia Farma"/>
    <s v="Bonus"/>
    <n v="2010600"/>
    <n v="0"/>
    <x v="2"/>
    <s v="Medan"/>
    <s v="Completed"/>
    <s v="No"/>
    <s v="No"/>
    <n v="5287800"/>
    <x v="0"/>
    <n v="1"/>
  </r>
  <r>
    <s v="TXN0007"/>
    <d v="2026-01-07T00:00:00"/>
    <n v="2026"/>
    <x v="1"/>
    <x v="4"/>
    <x v="0"/>
    <x v="4"/>
    <s v="Pharmacy"/>
    <x v="4"/>
    <s v="Telkomsel"/>
    <s v="Pharmacy"/>
    <n v="511000"/>
    <n v="1799300"/>
    <x v="3"/>
    <s v="Medan"/>
    <s v="Completed"/>
    <s v="No"/>
    <s v="No"/>
    <n v="4776800"/>
    <x v="0"/>
    <n v="1"/>
  </r>
  <r>
    <s v="TXN0008"/>
    <d v="2026-01-08T00:00:00"/>
    <n v="2026"/>
    <x v="0"/>
    <x v="4"/>
    <x v="1"/>
    <x v="3"/>
    <s v="Bonus"/>
    <x v="1"/>
    <s v="PT Sejahtera Makmur"/>
    <s v="Bonus"/>
    <n v="285200"/>
    <n v="0"/>
    <x v="0"/>
    <s v="Bandung"/>
    <s v="Completed"/>
    <s v="Yes"/>
    <s v="Yes"/>
    <n v="5062000"/>
    <x v="0"/>
    <n v="1"/>
  </r>
  <r>
    <s v="TXN0009"/>
    <d v="2026-01-09T00:00:00"/>
    <n v="2026"/>
    <x v="1"/>
    <x v="5"/>
    <x v="0"/>
    <x v="5"/>
    <s v="Clothing"/>
    <x v="4"/>
    <s v="Pertamina"/>
    <s v="Clothing"/>
    <n v="1463600"/>
    <n v="1355000"/>
    <x v="0"/>
    <s v="Surabaya"/>
    <s v="Completed"/>
    <s v="Yes"/>
    <s v="No"/>
    <n v="3598400"/>
    <x v="0"/>
    <n v="1"/>
  </r>
  <r>
    <s v="TXN0011"/>
    <d v="2026-01-11T00:00:00"/>
    <n v="2026"/>
    <x v="0"/>
    <x v="4"/>
    <x v="0"/>
    <x v="4"/>
    <s v="Pharmacy"/>
    <x v="4"/>
    <s v="Apotek Kimia Farma"/>
    <s v="Pharmacy"/>
    <n v="1575800"/>
    <n v="1670300"/>
    <x v="3"/>
    <s v="Palembang"/>
    <s v="Completed"/>
    <s v="No"/>
    <s v="No"/>
    <n v="2022600"/>
    <x v="0"/>
    <n v="1"/>
  </r>
  <r>
    <s v="TXN0012"/>
    <d v="2026-01-12T00:00:00"/>
    <n v="2026"/>
    <x v="2"/>
    <x v="0"/>
    <x v="0"/>
    <x v="2"/>
    <s v="Petrol"/>
    <x v="2"/>
    <s v="Telkomsel"/>
    <s v="Petrol"/>
    <n v="515000"/>
    <n v="1462100"/>
    <x v="3"/>
    <s v="Surabaya"/>
    <s v="Completed"/>
    <s v="No"/>
    <s v="No"/>
    <n v="1507600"/>
    <x v="0"/>
    <n v="1"/>
  </r>
  <r>
    <s v="TXN0013"/>
    <d v="2026-01-13T00:00:00"/>
    <n v="2026"/>
    <x v="1"/>
    <x v="5"/>
    <x v="0"/>
    <x v="6"/>
    <s v="Broadband"/>
    <x v="5"/>
    <s v="Telkomsel"/>
    <s v="Broadband"/>
    <n v="1710600"/>
    <n v="570700"/>
    <x v="3"/>
    <s v="Malang"/>
    <s v="Completed"/>
    <s v="No"/>
    <s v="No"/>
    <n v="-203000"/>
    <x v="0"/>
    <n v="1"/>
  </r>
  <r>
    <s v="TXN0014"/>
    <d v="2026-01-14T00:00:00"/>
    <n v="2026"/>
    <x v="0"/>
    <x v="4"/>
    <x v="0"/>
    <x v="7"/>
    <s v="Restaurant"/>
    <x v="5"/>
    <s v="Pertamina"/>
    <s v="Restaurant"/>
    <n v="1501100"/>
    <n v="359100"/>
    <x v="2"/>
    <s v="Yogyakarta"/>
    <s v="Completed"/>
    <s v="Yes"/>
    <s v="No"/>
    <n v="-1704100"/>
    <x v="0"/>
    <n v="1"/>
  </r>
  <r>
    <s v="TXN0015"/>
    <d v="2026-01-15T00:00:00"/>
    <n v="2026"/>
    <x v="2"/>
    <x v="5"/>
    <x v="1"/>
    <x v="3"/>
    <s v="Bonus"/>
    <x v="0"/>
    <s v="Restoran Sederhana"/>
    <s v="Bonus"/>
    <n v="3243500"/>
    <n v="0"/>
    <x v="0"/>
    <s v="Jakarta"/>
    <s v="Completed"/>
    <s v="No"/>
    <s v="No"/>
    <n v="1539400"/>
    <x v="0"/>
    <n v="1"/>
  </r>
  <r>
    <s v="TXN0017"/>
    <d v="2026-01-17T00:00:00"/>
    <n v="2026"/>
    <x v="0"/>
    <x v="1"/>
    <x v="1"/>
    <x v="8"/>
    <s v="Project"/>
    <x v="0"/>
    <s v="Telkomsel"/>
    <s v="Project"/>
    <n v="7716800"/>
    <n v="0"/>
    <x v="0"/>
    <s v="Jakarta"/>
    <s v="Completed"/>
    <s v="No"/>
    <s v="No"/>
    <n v="9256200"/>
    <x v="0"/>
    <n v="1"/>
  </r>
  <r>
    <s v="TXN0018"/>
    <d v="2026-01-18T00:00:00"/>
    <n v="2026"/>
    <x v="1"/>
    <x v="4"/>
    <x v="1"/>
    <x v="3"/>
    <s v="Bonus"/>
    <x v="4"/>
    <s v="Tokopedia"/>
    <s v="Bonus"/>
    <n v="2319300"/>
    <n v="0"/>
    <x v="2"/>
    <s v="Surabaya"/>
    <s v="Completed"/>
    <s v="No"/>
    <s v="No"/>
    <n v="11575500"/>
    <x v="0"/>
    <n v="1"/>
  </r>
  <r>
    <s v="TXN0019"/>
    <d v="2026-01-19T00:00:00"/>
    <n v="2026"/>
    <x v="2"/>
    <x v="4"/>
    <x v="0"/>
    <x v="6"/>
    <s v="Broadband"/>
    <x v="2"/>
    <s v="Pertamina"/>
    <s v="Broadband"/>
    <n v="1075500"/>
    <n v="759500"/>
    <x v="0"/>
    <s v="Medan"/>
    <s v="Completed"/>
    <s v="No"/>
    <s v="No"/>
    <n v="10500000"/>
    <x v="0"/>
    <n v="1"/>
  </r>
  <r>
    <s v="TXN0020"/>
    <d v="2026-01-20T00:00:00"/>
    <n v="2026"/>
    <x v="0"/>
    <x v="2"/>
    <x v="0"/>
    <x v="7"/>
    <s v="Restaurant"/>
    <x v="4"/>
    <s v="PT Sejahtera Makmur"/>
    <s v="Restaurant"/>
    <n v="392100"/>
    <n v="1878200"/>
    <x v="3"/>
    <s v="Medan"/>
    <s v="Completed"/>
    <s v="No"/>
    <s v="No"/>
    <n v="10107900"/>
    <x v="0"/>
    <n v="1"/>
  </r>
  <r>
    <s v="TXN0021"/>
    <d v="2026-01-21T00:00:00"/>
    <n v="2026"/>
    <x v="2"/>
    <x v="2"/>
    <x v="0"/>
    <x v="7"/>
    <s v="Restaurant"/>
    <x v="0"/>
    <s v="Pertamina"/>
    <s v="Restaurant"/>
    <n v="1423100"/>
    <n v="1599300"/>
    <x v="2"/>
    <s v="Palembang"/>
    <s v="Completed"/>
    <s v="No"/>
    <s v="No"/>
    <n v="8684800"/>
    <x v="0"/>
    <n v="1"/>
  </r>
  <r>
    <s v="TXN0022"/>
    <d v="2026-01-22T00:00:00"/>
    <n v="2026"/>
    <x v="1"/>
    <x v="4"/>
    <x v="0"/>
    <x v="5"/>
    <s v="Clothing"/>
    <x v="3"/>
    <s v="Alfamart"/>
    <s v="Clothing"/>
    <n v="1409700"/>
    <n v="368800"/>
    <x v="2"/>
    <s v="Malang"/>
    <s v="Completed"/>
    <s v="No"/>
    <s v="Yes"/>
    <n v="7275100"/>
    <x v="0"/>
    <n v="1"/>
  </r>
  <r>
    <s v="TXN0023"/>
    <d v="2026-01-23T00:00:00"/>
    <n v="2026"/>
    <x v="1"/>
    <x v="1"/>
    <x v="1"/>
    <x v="1"/>
    <s v="Interest"/>
    <x v="5"/>
    <s v="PT Sejahtera Makmur"/>
    <s v="Interest"/>
    <n v="7960900"/>
    <n v="0"/>
    <x v="2"/>
    <s v="Jakarta"/>
    <s v="Completed"/>
    <s v="No"/>
    <s v="No"/>
    <n v="15236000"/>
    <x v="0"/>
    <n v="1"/>
  </r>
  <r>
    <s v="TXN0024"/>
    <d v="2026-01-24T00:00:00"/>
    <n v="2026"/>
    <x v="2"/>
    <x v="4"/>
    <x v="0"/>
    <x v="0"/>
    <s v="House Rent"/>
    <x v="3"/>
    <s v="Pertamina"/>
    <s v="House Rent"/>
    <n v="1158400"/>
    <n v="1138000"/>
    <x v="3"/>
    <s v="Palembang"/>
    <s v="Completed"/>
    <s v="Yes"/>
    <s v="No"/>
    <n v="14077600"/>
    <x v="0"/>
    <n v="1"/>
  </r>
  <r>
    <s v="TXN0025"/>
    <d v="2026-01-25T00:00:00"/>
    <n v="2026"/>
    <x v="2"/>
    <x v="5"/>
    <x v="0"/>
    <x v="7"/>
    <s v="Restaurant"/>
    <x v="0"/>
    <s v="Restoran Sederhana"/>
    <s v="Restaurant"/>
    <n v="318200"/>
    <n v="421600"/>
    <x v="3"/>
    <s v="Medan"/>
    <s v="Completed"/>
    <s v="No"/>
    <s v="No"/>
    <n v="13759400"/>
    <x v="0"/>
    <n v="1"/>
  </r>
  <r>
    <s v="TXN0026"/>
    <d v="2026-01-26T00:00:00"/>
    <n v="2026"/>
    <x v="0"/>
    <x v="2"/>
    <x v="0"/>
    <x v="7"/>
    <s v="Restaurant"/>
    <x v="5"/>
    <s v="Shopee"/>
    <s v="Restaurant"/>
    <n v="418800"/>
    <n v="1094700"/>
    <x v="0"/>
    <s v="Palembang"/>
    <s v="Completed"/>
    <s v="No"/>
    <s v="No"/>
    <n v="13340600"/>
    <x v="0"/>
    <n v="1"/>
  </r>
  <r>
    <s v="TXN0027"/>
    <d v="2026-01-27T00:00:00"/>
    <n v="2026"/>
    <x v="0"/>
    <x v="4"/>
    <x v="0"/>
    <x v="2"/>
    <s v="Petrol"/>
    <x v="0"/>
    <s v="Apotek Kimia Farma"/>
    <s v="Petrol"/>
    <n v="1896000"/>
    <n v="1598500"/>
    <x v="0"/>
    <s v="Yogyakarta"/>
    <s v="Completed"/>
    <s v="No"/>
    <s v="No"/>
    <n v="11444600"/>
    <x v="0"/>
    <n v="1"/>
  </r>
  <r>
    <s v="TXN0028"/>
    <d v="2026-01-28T00:00:00"/>
    <n v="2026"/>
    <x v="1"/>
    <x v="5"/>
    <x v="1"/>
    <x v="9"/>
    <s v="Monthly Salary"/>
    <x v="0"/>
    <s v="Alfamart"/>
    <s v="Monthly Salary"/>
    <n v="1029400"/>
    <n v="0"/>
    <x v="1"/>
    <s v="Medan"/>
    <s v="Completed"/>
    <s v="No"/>
    <s v="Yes"/>
    <n v="12474000"/>
    <x v="0"/>
    <n v="1"/>
  </r>
  <r>
    <s v="TXN0029"/>
    <d v="2026-01-29T00:00:00"/>
    <n v="2026"/>
    <x v="0"/>
    <x v="4"/>
    <x v="0"/>
    <x v="6"/>
    <s v="Broadband"/>
    <x v="2"/>
    <s v="Alfamart"/>
    <s v="Broadband"/>
    <n v="210500"/>
    <n v="284300"/>
    <x v="2"/>
    <s v="Denpasar"/>
    <s v="Completed"/>
    <s v="No"/>
    <s v="No"/>
    <n v="12263500"/>
    <x v="0"/>
    <n v="1"/>
  </r>
  <r>
    <s v="TXN0030"/>
    <d v="2026-01-30T00:00:00"/>
    <n v="2026"/>
    <x v="2"/>
    <x v="1"/>
    <x v="1"/>
    <x v="8"/>
    <s v="Project"/>
    <x v="3"/>
    <s v="Restoran Sederhana"/>
    <s v="Project"/>
    <n v="3006700"/>
    <n v="0"/>
    <x v="2"/>
    <s v="Malang"/>
    <s v="Completed"/>
    <s v="No"/>
    <s v="No"/>
    <n v="15270200"/>
    <x v="0"/>
    <n v="1"/>
  </r>
  <r>
    <s v="TXN0031"/>
    <d v="2026-01-31T00:00:00"/>
    <n v="2026"/>
    <x v="1"/>
    <x v="3"/>
    <x v="0"/>
    <x v="10"/>
    <s v="Bill"/>
    <x v="3"/>
    <s v="PT Sejahtera Makmur"/>
    <s v="Bill"/>
    <n v="1905700"/>
    <n v="845300"/>
    <x v="0"/>
    <s v="Semarang"/>
    <s v="Completed"/>
    <s v="No"/>
    <s v="No"/>
    <n v="13364500"/>
    <x v="0"/>
    <n v="1"/>
  </r>
  <r>
    <s v="TXN0033"/>
    <d v="2026-02-02T00:00:00"/>
    <n v="2026"/>
    <x v="2"/>
    <x v="3"/>
    <x v="1"/>
    <x v="9"/>
    <s v="Monthly Salary"/>
    <x v="4"/>
    <s v="Restoran Sederhana"/>
    <s v="Monthly Salary"/>
    <n v="5853400"/>
    <n v="0"/>
    <x v="0"/>
    <s v="Jakarta"/>
    <s v="Completed"/>
    <s v="No"/>
    <s v="No"/>
    <n v="19217900"/>
    <x v="1"/>
    <n v="2"/>
  </r>
  <r>
    <s v="TXN0034"/>
    <d v="2026-02-03T00:00:00"/>
    <n v="2026"/>
    <x v="1"/>
    <x v="5"/>
    <x v="0"/>
    <x v="0"/>
    <s v="House Rent"/>
    <x v="2"/>
    <s v="Restoran Sederhana"/>
    <s v="House Rent"/>
    <n v="401700"/>
    <n v="367200"/>
    <x v="3"/>
    <s v="Bandung"/>
    <s v="Completed"/>
    <s v="No"/>
    <s v="No"/>
    <n v="18816200"/>
    <x v="1"/>
    <n v="2"/>
  </r>
  <r>
    <s v="TXN0035"/>
    <d v="2026-02-04T00:00:00"/>
    <n v="2026"/>
    <x v="1"/>
    <x v="4"/>
    <x v="0"/>
    <x v="7"/>
    <s v="Restaurant"/>
    <x v="2"/>
    <s v="Restoran Sederhana"/>
    <s v="Restaurant"/>
    <n v="630700"/>
    <n v="181900"/>
    <x v="1"/>
    <s v="Yogyakarta"/>
    <s v="Completed"/>
    <s v="No"/>
    <s v="Yes"/>
    <n v="18185500"/>
    <x v="1"/>
    <n v="2"/>
  </r>
  <r>
    <s v="TXN0036"/>
    <d v="2026-02-05T00:00:00"/>
    <n v="2026"/>
    <x v="0"/>
    <x v="5"/>
    <x v="0"/>
    <x v="11"/>
    <s v="Supermarket"/>
    <x v="1"/>
    <s v="Shopee"/>
    <s v="Supermarket"/>
    <n v="743400"/>
    <n v="1211200"/>
    <x v="2"/>
    <s v="Makassar"/>
    <s v="Completed"/>
    <s v="No"/>
    <s v="No"/>
    <n v="17442100"/>
    <x v="1"/>
    <n v="2"/>
  </r>
  <r>
    <s v="TXN0037"/>
    <d v="2026-02-06T00:00:00"/>
    <n v="2026"/>
    <x v="0"/>
    <x v="5"/>
    <x v="0"/>
    <x v="10"/>
    <s v="Bill"/>
    <x v="2"/>
    <s v="Pertamina"/>
    <s v="Bill"/>
    <n v="932700"/>
    <n v="148800"/>
    <x v="2"/>
    <s v="Semarang"/>
    <s v="Completed"/>
    <s v="Yes"/>
    <s v="No"/>
    <n v="16509400"/>
    <x v="1"/>
    <n v="2"/>
  </r>
  <r>
    <s v="TXN0038"/>
    <d v="2026-02-07T00:00:00"/>
    <n v="2026"/>
    <x v="1"/>
    <x v="2"/>
    <x v="0"/>
    <x v="10"/>
    <s v="Bill"/>
    <x v="3"/>
    <s v="Apotek Kimia Farma"/>
    <s v="Bill"/>
    <n v="1915400"/>
    <n v="1663000"/>
    <x v="2"/>
    <s v="Bandung"/>
    <s v="Completed"/>
    <s v="Yes"/>
    <s v="Yes"/>
    <n v="14594000"/>
    <x v="1"/>
    <n v="2"/>
  </r>
  <r>
    <s v="TXN0039"/>
    <d v="2026-02-08T00:00:00"/>
    <n v="2026"/>
    <x v="2"/>
    <x v="4"/>
    <x v="1"/>
    <x v="8"/>
    <s v="Project"/>
    <x v="5"/>
    <s v="Pertamina"/>
    <s v="Project"/>
    <n v="1460200"/>
    <n v="0"/>
    <x v="1"/>
    <s v="Medan"/>
    <s v="Completed"/>
    <s v="No"/>
    <s v="Yes"/>
    <n v="16054200"/>
    <x v="1"/>
    <n v="2"/>
  </r>
  <r>
    <s v="TXN0040"/>
    <d v="2026-02-09T00:00:00"/>
    <n v="2026"/>
    <x v="1"/>
    <x v="1"/>
    <x v="1"/>
    <x v="9"/>
    <s v="Monthly Salary"/>
    <x v="3"/>
    <s v="Telkomsel"/>
    <s v="Monthly Salary"/>
    <n v="4668600"/>
    <n v="0"/>
    <x v="3"/>
    <s v="Makassar"/>
    <s v="Completed"/>
    <s v="Yes"/>
    <s v="No"/>
    <n v="20722800"/>
    <x v="1"/>
    <n v="2"/>
  </r>
  <r>
    <s v="TXN0041"/>
    <d v="2026-02-10T00:00:00"/>
    <n v="2026"/>
    <x v="2"/>
    <x v="4"/>
    <x v="1"/>
    <x v="9"/>
    <s v="Monthly Salary"/>
    <x v="3"/>
    <s v="Bibit"/>
    <s v="Monthly Salary"/>
    <n v="3202600"/>
    <n v="0"/>
    <x v="0"/>
    <s v="Surabaya"/>
    <s v="Completed"/>
    <s v="No"/>
    <s v="No"/>
    <n v="23925400"/>
    <x v="1"/>
    <n v="2"/>
  </r>
  <r>
    <s v="TXN0042"/>
    <d v="2026-02-11T00:00:00"/>
    <n v="2026"/>
    <x v="2"/>
    <x v="5"/>
    <x v="0"/>
    <x v="0"/>
    <s v="House Rent"/>
    <x v="5"/>
    <s v="Alfamart"/>
    <s v="House Rent"/>
    <n v="133200"/>
    <n v="1138700"/>
    <x v="2"/>
    <s v="Surabaya"/>
    <s v="Completed"/>
    <s v="Yes"/>
    <s v="No"/>
    <n v="23792200"/>
    <x v="1"/>
    <n v="2"/>
  </r>
  <r>
    <s v="TXN0043"/>
    <d v="2026-02-12T00:00:00"/>
    <n v="2026"/>
    <x v="2"/>
    <x v="1"/>
    <x v="0"/>
    <x v="4"/>
    <s v="Pharmacy"/>
    <x v="1"/>
    <s v="Apotek Kimia Farma"/>
    <s v="Pharmacy"/>
    <n v="477000"/>
    <n v="1886300"/>
    <x v="2"/>
    <s v="Yogyakarta"/>
    <s v="Completed"/>
    <s v="No"/>
    <s v="No"/>
    <n v="23315200"/>
    <x v="1"/>
    <n v="2"/>
  </r>
  <r>
    <s v="TXN0044"/>
    <d v="2026-02-13T00:00:00"/>
    <n v="2026"/>
    <x v="0"/>
    <x v="0"/>
    <x v="0"/>
    <x v="5"/>
    <s v="Clothing"/>
    <x v="0"/>
    <s v="Apotek Kimia Farma"/>
    <s v="Clothing"/>
    <n v="1407600"/>
    <n v="369200"/>
    <x v="0"/>
    <s v="Surabaya"/>
    <s v="Completed"/>
    <s v="No"/>
    <s v="Yes"/>
    <n v="21907600"/>
    <x v="1"/>
    <n v="2"/>
  </r>
  <r>
    <s v="TXN0046"/>
    <d v="2026-02-15T00:00:00"/>
    <n v="2026"/>
    <x v="0"/>
    <x v="2"/>
    <x v="0"/>
    <x v="5"/>
    <s v="Clothing"/>
    <x v="4"/>
    <s v="PT Sejahtera Makmur"/>
    <s v="Clothing"/>
    <n v="857700"/>
    <n v="806200"/>
    <x v="0"/>
    <s v="Makassar"/>
    <s v="Completed"/>
    <s v="Yes"/>
    <s v="No"/>
    <n v="21049900"/>
    <x v="1"/>
    <n v="2"/>
  </r>
  <r>
    <s v="TXN0047"/>
    <d v="2026-02-16T00:00:00"/>
    <n v="2026"/>
    <x v="0"/>
    <x v="1"/>
    <x v="0"/>
    <x v="4"/>
    <s v="Pharmacy"/>
    <x v="5"/>
    <s v="Shopee"/>
    <s v="Pharmacy"/>
    <n v="1993400"/>
    <n v="1179600"/>
    <x v="0"/>
    <s v="Makassar"/>
    <s v="Completed"/>
    <s v="No"/>
    <s v="No"/>
    <n v="19056500"/>
    <x v="1"/>
    <n v="2"/>
  </r>
  <r>
    <s v="TXN0048"/>
    <d v="2026-02-17T00:00:00"/>
    <n v="2026"/>
    <x v="1"/>
    <x v="5"/>
    <x v="1"/>
    <x v="9"/>
    <s v="Monthly Salary"/>
    <x v="2"/>
    <s v="Bibit"/>
    <s v="Monthly Salary"/>
    <n v="4167700"/>
    <n v="0"/>
    <x v="2"/>
    <s v="Malang"/>
    <s v="Completed"/>
    <s v="Yes"/>
    <s v="No"/>
    <n v="23224200"/>
    <x v="1"/>
    <n v="2"/>
  </r>
  <r>
    <s v="TXN0049"/>
    <d v="2026-02-18T00:00:00"/>
    <n v="2026"/>
    <x v="2"/>
    <x v="4"/>
    <x v="0"/>
    <x v="2"/>
    <s v="Petrol"/>
    <x v="5"/>
    <s v="Apotek Kimia Farma"/>
    <s v="Petrol"/>
    <n v="768900"/>
    <n v="688300"/>
    <x v="2"/>
    <s v="Semarang"/>
    <s v="Completed"/>
    <s v="Yes"/>
    <s v="No"/>
    <n v="22455300"/>
    <x v="1"/>
    <n v="2"/>
  </r>
  <r>
    <s v="TXN0050"/>
    <d v="2026-02-19T00:00:00"/>
    <n v="2026"/>
    <x v="1"/>
    <x v="5"/>
    <x v="0"/>
    <x v="0"/>
    <s v="House Rent"/>
    <x v="2"/>
    <s v="Restoran Sederhana"/>
    <s v="House Rent"/>
    <n v="1017100"/>
    <n v="164100"/>
    <x v="2"/>
    <s v="Jakarta"/>
    <s v="Completed"/>
    <s v="Yes"/>
    <s v="No"/>
    <n v="21438200"/>
    <x v="1"/>
    <n v="2"/>
  </r>
  <r>
    <s v="TXN0054"/>
    <d v="2026-02-23T00:00:00"/>
    <n v="2026"/>
    <x v="0"/>
    <x v="0"/>
    <x v="0"/>
    <x v="7"/>
    <s v="Restaurant"/>
    <x v="5"/>
    <s v="Apotek Kimia Farma"/>
    <s v="Restaurant"/>
    <n v="1658100"/>
    <n v="500100"/>
    <x v="2"/>
    <s v="Denpasar"/>
    <s v="Completed"/>
    <s v="No"/>
    <s v="No"/>
    <n v="19780100"/>
    <x v="1"/>
    <n v="2"/>
  </r>
  <r>
    <s v="TXN0055"/>
    <d v="2026-02-24T00:00:00"/>
    <n v="2026"/>
    <x v="1"/>
    <x v="5"/>
    <x v="0"/>
    <x v="11"/>
    <s v="Supermarket"/>
    <x v="3"/>
    <s v="Tokopedia"/>
    <s v="Supermarket"/>
    <n v="1248000"/>
    <n v="334800"/>
    <x v="0"/>
    <s v="Palembang"/>
    <s v="Completed"/>
    <s v="No"/>
    <s v="No"/>
    <n v="18532100"/>
    <x v="1"/>
    <n v="2"/>
  </r>
  <r>
    <s v="TXN0056"/>
    <d v="2026-02-25T00:00:00"/>
    <n v="2026"/>
    <x v="1"/>
    <x v="3"/>
    <x v="0"/>
    <x v="11"/>
    <s v="Supermarket"/>
    <x v="2"/>
    <s v="Bibit"/>
    <s v="Supermarket"/>
    <n v="1279500"/>
    <n v="1583100"/>
    <x v="1"/>
    <s v="Surabaya"/>
    <s v="Completed"/>
    <s v="No"/>
    <s v="No"/>
    <n v="17252600"/>
    <x v="1"/>
    <n v="2"/>
  </r>
  <r>
    <s v="TXN0057"/>
    <d v="2026-02-26T00:00:00"/>
    <n v="2026"/>
    <x v="2"/>
    <x v="1"/>
    <x v="0"/>
    <x v="2"/>
    <s v="Petrol"/>
    <x v="3"/>
    <s v="Bibit"/>
    <s v="Petrol"/>
    <n v="365500"/>
    <n v="1955600"/>
    <x v="1"/>
    <s v="Yogyakarta"/>
    <s v="Completed"/>
    <s v="Yes"/>
    <s v="No"/>
    <n v="16887100"/>
    <x v="1"/>
    <n v="2"/>
  </r>
  <r>
    <s v="TXN0058"/>
    <d v="2026-02-27T00:00:00"/>
    <n v="2026"/>
    <x v="0"/>
    <x v="4"/>
    <x v="0"/>
    <x v="11"/>
    <s v="Supermarket"/>
    <x v="1"/>
    <s v="PT Sejahtera Makmur"/>
    <s v="Supermarket"/>
    <n v="1087000"/>
    <n v="1000200"/>
    <x v="0"/>
    <s v="Surabaya"/>
    <s v="Completed"/>
    <s v="No"/>
    <s v="No"/>
    <n v="15800100"/>
    <x v="1"/>
    <n v="2"/>
  </r>
  <r>
    <s v="TXN0059"/>
    <d v="2026-02-28T00:00:00"/>
    <n v="2026"/>
    <x v="2"/>
    <x v="5"/>
    <x v="0"/>
    <x v="0"/>
    <s v="House Rent"/>
    <x v="3"/>
    <s v="Pertamina"/>
    <s v="House Rent"/>
    <n v="775800"/>
    <n v="833700"/>
    <x v="2"/>
    <s v="Palembang"/>
    <s v="Completed"/>
    <s v="No"/>
    <s v="Yes"/>
    <n v="15024300"/>
    <x v="1"/>
    <n v="2"/>
  </r>
  <r>
    <s v="TXN0060"/>
    <d v="2026-03-01T00:00:00"/>
    <n v="2026"/>
    <x v="2"/>
    <x v="5"/>
    <x v="0"/>
    <x v="6"/>
    <s v="Broadband"/>
    <x v="0"/>
    <s v="Telkomsel"/>
    <s v="Broadband"/>
    <n v="423100"/>
    <n v="347500"/>
    <x v="1"/>
    <s v="Semarang"/>
    <s v="Completed"/>
    <s v="Yes"/>
    <s v="No"/>
    <n v="14601200"/>
    <x v="2"/>
    <n v="3"/>
  </r>
  <r>
    <s v="TXN0061"/>
    <d v="2026-03-02T00:00:00"/>
    <n v="2026"/>
    <x v="0"/>
    <x v="3"/>
    <x v="0"/>
    <x v="2"/>
    <s v="Petrol"/>
    <x v="3"/>
    <s v="Restoran Sederhana"/>
    <s v="Petrol"/>
    <n v="130200"/>
    <n v="1431100"/>
    <x v="3"/>
    <s v="Malang"/>
    <s v="Completed"/>
    <s v="No"/>
    <s v="No"/>
    <n v="14471000"/>
    <x v="2"/>
    <n v="3"/>
  </r>
  <r>
    <s v="TXN0062"/>
    <d v="2026-03-03T00:00:00"/>
    <n v="2026"/>
    <x v="2"/>
    <x v="1"/>
    <x v="0"/>
    <x v="0"/>
    <s v="House Rent"/>
    <x v="4"/>
    <s v="Bibit"/>
    <s v="House Rent"/>
    <n v="1681700"/>
    <n v="1435300"/>
    <x v="1"/>
    <s v="Makassar"/>
    <s v="Completed"/>
    <s v="No"/>
    <s v="No"/>
    <n v="12789300"/>
    <x v="2"/>
    <n v="3"/>
  </r>
  <r>
    <s v="TXN0063"/>
    <d v="2026-03-04T00:00:00"/>
    <n v="2026"/>
    <x v="2"/>
    <x v="0"/>
    <x v="0"/>
    <x v="0"/>
    <s v="House Rent"/>
    <x v="1"/>
    <s v="Pertamina"/>
    <s v="House Rent"/>
    <n v="1148300"/>
    <n v="390400"/>
    <x v="3"/>
    <s v="Malang"/>
    <s v="Completed"/>
    <s v="Yes"/>
    <s v="No"/>
    <n v="11641000"/>
    <x v="2"/>
    <n v="3"/>
  </r>
  <r>
    <s v="TXN0064"/>
    <d v="2026-03-05T00:00:00"/>
    <n v="2026"/>
    <x v="2"/>
    <x v="4"/>
    <x v="0"/>
    <x v="2"/>
    <s v="Petrol"/>
    <x v="4"/>
    <s v="Alfamart"/>
    <s v="Petrol"/>
    <n v="1186300"/>
    <n v="268100"/>
    <x v="3"/>
    <s v="Medan"/>
    <s v="Completed"/>
    <s v="No"/>
    <s v="No"/>
    <n v="10454700"/>
    <x v="2"/>
    <n v="3"/>
  </r>
  <r>
    <s v="TXN0065"/>
    <d v="2026-03-06T00:00:00"/>
    <n v="2026"/>
    <x v="0"/>
    <x v="5"/>
    <x v="0"/>
    <x v="10"/>
    <s v="Bill"/>
    <x v="1"/>
    <s v="Telkomsel"/>
    <s v="Bill"/>
    <n v="84900"/>
    <n v="1494300"/>
    <x v="2"/>
    <s v="Surabaya"/>
    <s v="Completed"/>
    <s v="No"/>
    <s v="No"/>
    <n v="10369800"/>
    <x v="2"/>
    <n v="3"/>
  </r>
  <r>
    <s v="TXN0066"/>
    <d v="2026-03-07T00:00:00"/>
    <n v="2026"/>
    <x v="1"/>
    <x v="3"/>
    <x v="0"/>
    <x v="10"/>
    <s v="Bill"/>
    <x v="3"/>
    <s v="Bibit"/>
    <s v="Bill"/>
    <n v="487500"/>
    <n v="1923000"/>
    <x v="0"/>
    <s v="Jakarta"/>
    <s v="Completed"/>
    <s v="Yes"/>
    <s v="No"/>
    <n v="9882300"/>
    <x v="2"/>
    <n v="3"/>
  </r>
  <r>
    <s v="TXN0067"/>
    <d v="2026-03-08T00:00:00"/>
    <n v="2026"/>
    <x v="0"/>
    <x v="4"/>
    <x v="1"/>
    <x v="8"/>
    <s v="Project"/>
    <x v="5"/>
    <s v="Shopee"/>
    <s v="Project"/>
    <n v="4526900"/>
    <n v="0"/>
    <x v="2"/>
    <s v="Medan"/>
    <s v="Completed"/>
    <s v="No"/>
    <s v="No"/>
    <n v="14409200"/>
    <x v="2"/>
    <n v="3"/>
  </r>
  <r>
    <s v="TXN0068"/>
    <d v="2026-03-09T00:00:00"/>
    <n v="2026"/>
    <x v="0"/>
    <x v="5"/>
    <x v="0"/>
    <x v="2"/>
    <s v="Petrol"/>
    <x v="1"/>
    <s v="Restoran Sederhana"/>
    <s v="Petrol"/>
    <n v="1152700"/>
    <n v="296900"/>
    <x v="3"/>
    <s v="Semarang"/>
    <s v="Completed"/>
    <s v="Yes"/>
    <s v="No"/>
    <n v="13256500"/>
    <x v="2"/>
    <n v="3"/>
  </r>
  <r>
    <s v="TXN0069"/>
    <d v="2026-03-10T00:00:00"/>
    <n v="2026"/>
    <x v="1"/>
    <x v="4"/>
    <x v="0"/>
    <x v="10"/>
    <s v="Bill"/>
    <x v="3"/>
    <s v="PT Sejahtera Makmur"/>
    <s v="Bill"/>
    <n v="1618400"/>
    <n v="157300"/>
    <x v="2"/>
    <s v="Surabaya"/>
    <s v="Completed"/>
    <s v="No"/>
    <s v="No"/>
    <n v="11638100"/>
    <x v="2"/>
    <n v="3"/>
  </r>
  <r>
    <s v="TXN0070"/>
    <d v="2026-03-11T00:00:00"/>
    <n v="2026"/>
    <x v="0"/>
    <x v="5"/>
    <x v="1"/>
    <x v="3"/>
    <s v="Bonus"/>
    <x v="1"/>
    <s v="Apotek Kimia Farma"/>
    <s v="Bonus"/>
    <n v="274400"/>
    <n v="0"/>
    <x v="3"/>
    <s v="Medan"/>
    <s v="Completed"/>
    <s v="Yes"/>
    <s v="No"/>
    <n v="11912500"/>
    <x v="2"/>
    <n v="3"/>
  </r>
  <r>
    <s v="TXN0071"/>
    <d v="2026-03-12T00:00:00"/>
    <n v="2026"/>
    <x v="2"/>
    <x v="1"/>
    <x v="0"/>
    <x v="4"/>
    <s v="Pharmacy"/>
    <x v="2"/>
    <s v="PT Sejahtera Makmur"/>
    <s v="Pharmacy"/>
    <n v="577000"/>
    <n v="1521600"/>
    <x v="1"/>
    <s v="Surabaya"/>
    <s v="Completed"/>
    <s v="No"/>
    <s v="No"/>
    <n v="11335500"/>
    <x v="2"/>
    <n v="3"/>
  </r>
  <r>
    <s v="TXN0073"/>
    <d v="2026-03-14T00:00:00"/>
    <n v="2026"/>
    <x v="2"/>
    <x v="2"/>
    <x v="0"/>
    <x v="2"/>
    <s v="Petrol"/>
    <x v="2"/>
    <s v="Alfamart"/>
    <s v="Petrol"/>
    <n v="1090800"/>
    <n v="1820300"/>
    <x v="1"/>
    <s v="Yogyakarta"/>
    <s v="Completed"/>
    <s v="No"/>
    <s v="No"/>
    <n v="10244700"/>
    <x v="2"/>
    <n v="3"/>
  </r>
  <r>
    <s v="TXN0074"/>
    <d v="2026-03-15T00:00:00"/>
    <n v="2026"/>
    <x v="2"/>
    <x v="3"/>
    <x v="0"/>
    <x v="5"/>
    <s v="Clothing"/>
    <x v="3"/>
    <s v="Alfamart"/>
    <s v="Clothing"/>
    <n v="576000"/>
    <n v="599000"/>
    <x v="1"/>
    <s v="Semarang"/>
    <s v="Completed"/>
    <s v="No"/>
    <s v="No"/>
    <n v="9668700"/>
    <x v="2"/>
    <n v="3"/>
  </r>
  <r>
    <s v="TXN0075"/>
    <d v="2026-03-16T00:00:00"/>
    <n v="2026"/>
    <x v="0"/>
    <x v="5"/>
    <x v="0"/>
    <x v="10"/>
    <s v="Bill"/>
    <x v="3"/>
    <s v="PT Sejahtera Makmur"/>
    <s v="Bill"/>
    <n v="1836900"/>
    <n v="621000"/>
    <x v="1"/>
    <s v="Denpasar"/>
    <s v="Completed"/>
    <s v="Yes"/>
    <s v="Yes"/>
    <n v="7831800"/>
    <x v="2"/>
    <n v="3"/>
  </r>
  <r>
    <s v="TXN0076"/>
    <d v="2026-03-17T00:00:00"/>
    <n v="2026"/>
    <x v="2"/>
    <x v="2"/>
    <x v="1"/>
    <x v="3"/>
    <s v="Bonus"/>
    <x v="2"/>
    <s v="Tokopedia"/>
    <s v="Bonus"/>
    <n v="7161600"/>
    <n v="0"/>
    <x v="3"/>
    <s v="Makassar"/>
    <s v="Completed"/>
    <s v="No"/>
    <s v="No"/>
    <n v="14993400"/>
    <x v="2"/>
    <n v="3"/>
  </r>
  <r>
    <s v="TXN0077"/>
    <d v="2026-03-18T00:00:00"/>
    <n v="2026"/>
    <x v="0"/>
    <x v="0"/>
    <x v="0"/>
    <x v="11"/>
    <s v="Supermarket"/>
    <x v="5"/>
    <s v="Tokopedia"/>
    <s v="Supermarket"/>
    <n v="1454800"/>
    <n v="604400"/>
    <x v="1"/>
    <s v="Bandung"/>
    <s v="Completed"/>
    <s v="No"/>
    <s v="No"/>
    <n v="13538600"/>
    <x v="2"/>
    <n v="3"/>
  </r>
  <r>
    <s v="TXN0078"/>
    <d v="2026-03-19T00:00:00"/>
    <n v="2026"/>
    <x v="1"/>
    <x v="2"/>
    <x v="0"/>
    <x v="0"/>
    <s v="House Rent"/>
    <x v="3"/>
    <s v="Shopee"/>
    <s v="House Rent"/>
    <n v="1035200"/>
    <n v="1967100"/>
    <x v="0"/>
    <s v="Makassar"/>
    <s v="Completed"/>
    <s v="No"/>
    <s v="No"/>
    <n v="12503400"/>
    <x v="2"/>
    <n v="3"/>
  </r>
  <r>
    <s v="TXN0079"/>
    <d v="2026-03-20T00:00:00"/>
    <n v="2026"/>
    <x v="1"/>
    <x v="5"/>
    <x v="0"/>
    <x v="6"/>
    <s v="Broadband"/>
    <x v="1"/>
    <s v="Tokopedia"/>
    <s v="Broadband"/>
    <n v="1352300"/>
    <n v="347800"/>
    <x v="2"/>
    <s v="Makassar"/>
    <s v="Completed"/>
    <s v="No"/>
    <s v="No"/>
    <n v="11151100"/>
    <x v="2"/>
    <n v="3"/>
  </r>
  <r>
    <s v="TXN0080"/>
    <d v="2026-03-21T00:00:00"/>
    <n v="2026"/>
    <x v="1"/>
    <x v="2"/>
    <x v="0"/>
    <x v="7"/>
    <s v="Restaurant"/>
    <x v="5"/>
    <s v="Telkomsel"/>
    <s v="Restaurant"/>
    <n v="1639300"/>
    <n v="1705300"/>
    <x v="3"/>
    <s v="Medan"/>
    <s v="Completed"/>
    <s v="No"/>
    <s v="Yes"/>
    <n v="9511800"/>
    <x v="2"/>
    <n v="3"/>
  </r>
  <r>
    <s v="TXN0082"/>
    <d v="2026-03-23T00:00:00"/>
    <n v="2026"/>
    <x v="2"/>
    <x v="0"/>
    <x v="0"/>
    <x v="4"/>
    <s v="Pharmacy"/>
    <x v="5"/>
    <s v="Bibit"/>
    <s v="Pharmacy"/>
    <n v="720200"/>
    <n v="152500"/>
    <x v="1"/>
    <s v="Semarang"/>
    <s v="Completed"/>
    <s v="Yes"/>
    <s v="No"/>
    <n v="8791600"/>
    <x v="2"/>
    <n v="3"/>
  </r>
  <r>
    <s v="TXN0083"/>
    <d v="2026-03-24T00:00:00"/>
    <n v="2026"/>
    <x v="0"/>
    <x v="0"/>
    <x v="0"/>
    <x v="5"/>
    <s v="Clothing"/>
    <x v="1"/>
    <s v="Pertamina"/>
    <s v="Clothing"/>
    <n v="878100"/>
    <n v="1175900"/>
    <x v="0"/>
    <s v="Surabaya"/>
    <s v="Completed"/>
    <s v="No"/>
    <s v="No"/>
    <n v="7913500"/>
    <x v="2"/>
    <n v="3"/>
  </r>
  <r>
    <s v="TXN0084"/>
    <d v="2026-03-25T00:00:00"/>
    <n v="2026"/>
    <x v="0"/>
    <x v="1"/>
    <x v="0"/>
    <x v="5"/>
    <s v="Clothing"/>
    <x v="1"/>
    <s v="Shopee"/>
    <s v="Clothing"/>
    <n v="1376800"/>
    <n v="1881200"/>
    <x v="1"/>
    <s v="Malang"/>
    <s v="Completed"/>
    <s v="No"/>
    <s v="No"/>
    <n v="6536700"/>
    <x v="2"/>
    <n v="3"/>
  </r>
  <r>
    <s v="TXN0085"/>
    <d v="2026-03-26T00:00:00"/>
    <n v="2026"/>
    <x v="0"/>
    <x v="1"/>
    <x v="0"/>
    <x v="4"/>
    <s v="Pharmacy"/>
    <x v="5"/>
    <s v="Restoran Sederhana"/>
    <s v="Pharmacy"/>
    <n v="400400"/>
    <n v="702300"/>
    <x v="2"/>
    <s v="Bandung"/>
    <s v="Completed"/>
    <s v="Yes"/>
    <s v="Yes"/>
    <n v="6136300"/>
    <x v="2"/>
    <n v="3"/>
  </r>
  <r>
    <s v="TXN0086"/>
    <d v="2026-03-27T00:00:00"/>
    <n v="2026"/>
    <x v="0"/>
    <x v="3"/>
    <x v="1"/>
    <x v="9"/>
    <s v="Monthly Salary"/>
    <x v="2"/>
    <s v="Tokopedia"/>
    <s v="Monthly Salary"/>
    <n v="3397700"/>
    <n v="0"/>
    <x v="0"/>
    <s v="Palembang"/>
    <s v="Completed"/>
    <s v="Yes"/>
    <s v="No"/>
    <n v="9534000"/>
    <x v="2"/>
    <n v="3"/>
  </r>
  <r>
    <s v="TXN0087"/>
    <d v="2026-03-28T00:00:00"/>
    <n v="2026"/>
    <x v="1"/>
    <x v="1"/>
    <x v="0"/>
    <x v="4"/>
    <s v="Pharmacy"/>
    <x v="2"/>
    <s v="Bibit"/>
    <s v="Pharmacy"/>
    <n v="1898000"/>
    <n v="1117100"/>
    <x v="2"/>
    <s v="Medan"/>
    <s v="Completed"/>
    <s v="No"/>
    <s v="No"/>
    <n v="7636000"/>
    <x v="2"/>
    <n v="3"/>
  </r>
  <r>
    <s v="TXN0088"/>
    <d v="2026-03-29T00:00:00"/>
    <n v="2026"/>
    <x v="1"/>
    <x v="4"/>
    <x v="0"/>
    <x v="5"/>
    <s v="Clothing"/>
    <x v="0"/>
    <s v="Restoran Sederhana"/>
    <s v="Clothing"/>
    <n v="1724600"/>
    <n v="1004800"/>
    <x v="1"/>
    <s v="Bandung"/>
    <s v="Completed"/>
    <s v="No"/>
    <s v="No"/>
    <n v="5911400"/>
    <x v="2"/>
    <n v="3"/>
  </r>
  <r>
    <s v="TXN0089"/>
    <d v="2026-03-30T00:00:00"/>
    <n v="2026"/>
    <x v="0"/>
    <x v="5"/>
    <x v="0"/>
    <x v="11"/>
    <s v="Supermarket"/>
    <x v="1"/>
    <s v="Bibit"/>
    <s v="Supermarket"/>
    <n v="12300"/>
    <n v="1229500"/>
    <x v="0"/>
    <s v="Denpasar"/>
    <s v="Completed"/>
    <s v="No"/>
    <s v="No"/>
    <n v="5899100"/>
    <x v="2"/>
    <n v="3"/>
  </r>
  <r>
    <s v="TXN0092"/>
    <d v="2026-04-02T00:00:00"/>
    <n v="2026"/>
    <x v="1"/>
    <x v="0"/>
    <x v="0"/>
    <x v="2"/>
    <s v="Petrol"/>
    <x v="4"/>
    <s v="Alfamart"/>
    <s v="Petrol"/>
    <n v="553000"/>
    <n v="148400"/>
    <x v="3"/>
    <s v="Yogyakarta"/>
    <s v="Completed"/>
    <s v="Yes"/>
    <s v="Yes"/>
    <n v="5346100"/>
    <x v="3"/>
    <n v="4"/>
  </r>
  <r>
    <s v="TXN0093"/>
    <d v="2026-04-03T00:00:00"/>
    <n v="2026"/>
    <x v="1"/>
    <x v="5"/>
    <x v="0"/>
    <x v="0"/>
    <s v="House Rent"/>
    <x v="0"/>
    <s v="Telkomsel"/>
    <s v="House Rent"/>
    <n v="1713900"/>
    <n v="515800"/>
    <x v="3"/>
    <s v="Semarang"/>
    <s v="Completed"/>
    <s v="Yes"/>
    <s v="Yes"/>
    <n v="3632200"/>
    <x v="3"/>
    <n v="4"/>
  </r>
  <r>
    <s v="TXN0094"/>
    <d v="2026-04-04T00:00:00"/>
    <n v="2026"/>
    <x v="2"/>
    <x v="2"/>
    <x v="1"/>
    <x v="1"/>
    <s v="Interest"/>
    <x v="1"/>
    <s v="Bibit"/>
    <s v="Interest"/>
    <n v="7394900"/>
    <n v="0"/>
    <x v="1"/>
    <s v="Palembang"/>
    <s v="Completed"/>
    <s v="No"/>
    <s v="No"/>
    <n v="11027100"/>
    <x v="3"/>
    <n v="4"/>
  </r>
  <r>
    <s v="TXN0095"/>
    <d v="2026-04-05T00:00:00"/>
    <n v="2026"/>
    <x v="0"/>
    <x v="0"/>
    <x v="0"/>
    <x v="6"/>
    <s v="Broadband"/>
    <x v="4"/>
    <s v="Telkomsel"/>
    <s v="Broadband"/>
    <n v="63800"/>
    <n v="1818700"/>
    <x v="0"/>
    <s v="Medan"/>
    <s v="Completed"/>
    <s v="Yes"/>
    <s v="No"/>
    <n v="10963300"/>
    <x v="3"/>
    <n v="4"/>
  </r>
  <r>
    <s v="TXN0097"/>
    <d v="2026-04-07T00:00:00"/>
    <n v="2026"/>
    <x v="1"/>
    <x v="3"/>
    <x v="1"/>
    <x v="9"/>
    <s v="Monthly Salary"/>
    <x v="5"/>
    <s v="Restoran Sederhana"/>
    <s v="Monthly Salary"/>
    <n v="5289200"/>
    <n v="0"/>
    <x v="1"/>
    <s v="Makassar"/>
    <s v="Completed"/>
    <s v="Yes"/>
    <s v="No"/>
    <n v="16252500"/>
    <x v="3"/>
    <n v="4"/>
  </r>
  <r>
    <s v="TXN0098"/>
    <d v="2026-04-08T00:00:00"/>
    <n v="2026"/>
    <x v="0"/>
    <x v="2"/>
    <x v="1"/>
    <x v="8"/>
    <s v="Project"/>
    <x v="1"/>
    <s v="Bibit"/>
    <s v="Project"/>
    <n v="3958400"/>
    <n v="0"/>
    <x v="0"/>
    <s v="Jakarta"/>
    <s v="Completed"/>
    <s v="No"/>
    <s v="No"/>
    <n v="20210900"/>
    <x v="3"/>
    <n v="4"/>
  </r>
  <r>
    <s v="TXN0099"/>
    <d v="2026-04-09T00:00:00"/>
    <n v="2026"/>
    <x v="0"/>
    <x v="0"/>
    <x v="0"/>
    <x v="0"/>
    <s v="House Rent"/>
    <x v="1"/>
    <s v="Bibit"/>
    <s v="House Rent"/>
    <n v="1390400"/>
    <n v="413800"/>
    <x v="3"/>
    <s v="Medan"/>
    <s v="Completed"/>
    <s v="Yes"/>
    <s v="No"/>
    <n v="18820500"/>
    <x v="3"/>
    <n v="4"/>
  </r>
  <r>
    <s v="TXN0100"/>
    <d v="2026-04-10T00:00:00"/>
    <n v="2026"/>
    <x v="2"/>
    <x v="5"/>
    <x v="1"/>
    <x v="9"/>
    <s v="Monthly Salary"/>
    <x v="4"/>
    <s v="Tokopedia"/>
    <s v="Monthly Salary"/>
    <n v="5749700"/>
    <n v="0"/>
    <x v="0"/>
    <s v="Jakarta"/>
    <s v="Completed"/>
    <s v="No"/>
    <s v="Yes"/>
    <n v="24570200"/>
    <x v="3"/>
    <n v="4"/>
  </r>
  <r>
    <s v="TXN0101"/>
    <d v="2026-04-11T00:00:00"/>
    <n v="2026"/>
    <x v="1"/>
    <x v="4"/>
    <x v="0"/>
    <x v="7"/>
    <s v="Restaurant"/>
    <x v="2"/>
    <s v="PT Sejahtera Makmur"/>
    <s v="Restaurant"/>
    <n v="1309000"/>
    <n v="1827000"/>
    <x v="3"/>
    <s v="Makassar"/>
    <s v="Completed"/>
    <s v="No"/>
    <s v="No"/>
    <n v="23261200"/>
    <x v="3"/>
    <n v="4"/>
  </r>
  <r>
    <s v="TXN0102"/>
    <d v="2026-04-12T00:00:00"/>
    <n v="2026"/>
    <x v="1"/>
    <x v="4"/>
    <x v="0"/>
    <x v="7"/>
    <s v="Restaurant"/>
    <x v="2"/>
    <s v="Restoran Sederhana"/>
    <s v="Restaurant"/>
    <n v="348400"/>
    <n v="295000"/>
    <x v="1"/>
    <s v="Yogyakarta"/>
    <s v="Completed"/>
    <s v="No"/>
    <s v="Yes"/>
    <n v="22912800"/>
    <x v="3"/>
    <n v="4"/>
  </r>
  <r>
    <s v="TXN0104"/>
    <d v="2026-04-14T00:00:00"/>
    <n v="2026"/>
    <x v="0"/>
    <x v="5"/>
    <x v="1"/>
    <x v="1"/>
    <s v="Interest"/>
    <x v="1"/>
    <s v="Apotek Kimia Farma"/>
    <s v="Interest"/>
    <n v="4697100"/>
    <n v="0"/>
    <x v="1"/>
    <s v="Semarang"/>
    <s v="Completed"/>
    <s v="No"/>
    <s v="No"/>
    <n v="27609900"/>
    <x v="3"/>
    <n v="4"/>
  </r>
  <r>
    <s v="TXN0105"/>
    <d v="2026-04-15T00:00:00"/>
    <n v="2026"/>
    <x v="2"/>
    <x v="2"/>
    <x v="0"/>
    <x v="11"/>
    <s v="Supermarket"/>
    <x v="0"/>
    <s v="Tokopedia"/>
    <s v="Supermarket"/>
    <n v="726900"/>
    <n v="1520800"/>
    <x v="1"/>
    <s v="Surabaya"/>
    <s v="Completed"/>
    <s v="No"/>
    <s v="No"/>
    <n v="26883000"/>
    <x v="3"/>
    <n v="4"/>
  </r>
  <r>
    <s v="TXN0106"/>
    <d v="2026-04-16T00:00:00"/>
    <n v="2026"/>
    <x v="0"/>
    <x v="1"/>
    <x v="0"/>
    <x v="11"/>
    <s v="Supermarket"/>
    <x v="4"/>
    <s v="Restoran Sederhana"/>
    <s v="Supermarket"/>
    <n v="1407400"/>
    <n v="343000"/>
    <x v="2"/>
    <s v="Medan"/>
    <s v="Completed"/>
    <s v="Yes"/>
    <s v="No"/>
    <n v="25475600"/>
    <x v="3"/>
    <n v="4"/>
  </r>
  <r>
    <s v="TXN0107"/>
    <d v="2026-04-17T00:00:00"/>
    <n v="2026"/>
    <x v="1"/>
    <x v="0"/>
    <x v="0"/>
    <x v="5"/>
    <s v="Clothing"/>
    <x v="2"/>
    <s v="Tokopedia"/>
    <s v="Clothing"/>
    <n v="53400"/>
    <n v="1779000"/>
    <x v="3"/>
    <s v="Malang"/>
    <s v="Completed"/>
    <s v="No"/>
    <s v="No"/>
    <n v="25422200"/>
    <x v="3"/>
    <n v="4"/>
  </r>
  <r>
    <s v="TXN0108"/>
    <d v="2026-04-18T00:00:00"/>
    <n v="2026"/>
    <x v="1"/>
    <x v="1"/>
    <x v="0"/>
    <x v="0"/>
    <s v="House Rent"/>
    <x v="0"/>
    <s v="Restoran Sederhana"/>
    <s v="House Rent"/>
    <n v="963200"/>
    <n v="1337600"/>
    <x v="2"/>
    <s v="Makassar"/>
    <s v="Completed"/>
    <s v="No"/>
    <s v="Yes"/>
    <n v="24459000"/>
    <x v="3"/>
    <n v="4"/>
  </r>
  <r>
    <s v="TXN0109"/>
    <d v="2026-04-19T00:00:00"/>
    <n v="2026"/>
    <x v="0"/>
    <x v="2"/>
    <x v="0"/>
    <x v="4"/>
    <s v="Pharmacy"/>
    <x v="4"/>
    <s v="Restoran Sederhana"/>
    <s v="Pharmacy"/>
    <n v="287400"/>
    <n v="579400"/>
    <x v="0"/>
    <s v="Medan"/>
    <s v="Completed"/>
    <s v="Yes"/>
    <s v="Yes"/>
    <n v="24171600"/>
    <x v="3"/>
    <n v="4"/>
  </r>
  <r>
    <s v="TXN0110"/>
    <d v="2026-04-20T00:00:00"/>
    <n v="2026"/>
    <x v="1"/>
    <x v="2"/>
    <x v="0"/>
    <x v="11"/>
    <s v="Supermarket"/>
    <x v="0"/>
    <s v="Restoran Sederhana"/>
    <s v="Supermarket"/>
    <n v="1777600"/>
    <n v="1554400"/>
    <x v="3"/>
    <s v="Denpasar"/>
    <s v="Completed"/>
    <s v="Yes"/>
    <s v="No"/>
    <n v="22394000"/>
    <x v="3"/>
    <n v="4"/>
  </r>
  <r>
    <s v="TXN0111"/>
    <d v="2026-04-21T00:00:00"/>
    <n v="2026"/>
    <x v="1"/>
    <x v="4"/>
    <x v="0"/>
    <x v="5"/>
    <s v="Clothing"/>
    <x v="3"/>
    <s v="Bibit"/>
    <s v="Clothing"/>
    <n v="1238600"/>
    <n v="1185100"/>
    <x v="1"/>
    <s v="Yogyakarta"/>
    <s v="Completed"/>
    <s v="Yes"/>
    <s v="No"/>
    <n v="21155400"/>
    <x v="3"/>
    <n v="4"/>
  </r>
  <r>
    <s v="TXN0112"/>
    <d v="2026-04-22T00:00:00"/>
    <n v="2026"/>
    <x v="2"/>
    <x v="3"/>
    <x v="0"/>
    <x v="5"/>
    <s v="Clothing"/>
    <x v="2"/>
    <s v="Shopee"/>
    <s v="Clothing"/>
    <n v="1667600"/>
    <n v="1669000"/>
    <x v="0"/>
    <s v="Denpasar"/>
    <s v="Completed"/>
    <s v="No"/>
    <s v="No"/>
    <n v="19487800"/>
    <x v="3"/>
    <n v="4"/>
  </r>
  <r>
    <s v="TXN0113"/>
    <d v="2026-04-23T00:00:00"/>
    <n v="2026"/>
    <x v="1"/>
    <x v="4"/>
    <x v="0"/>
    <x v="6"/>
    <s v="Broadband"/>
    <x v="1"/>
    <s v="Shopee"/>
    <s v="Broadband"/>
    <n v="63800"/>
    <n v="1490200"/>
    <x v="3"/>
    <s v="Bandung"/>
    <s v="Completed"/>
    <s v="No"/>
    <s v="Yes"/>
    <n v="19424000"/>
    <x v="3"/>
    <n v="4"/>
  </r>
  <r>
    <s v="TXN0114"/>
    <d v="2026-04-24T00:00:00"/>
    <n v="2026"/>
    <x v="2"/>
    <x v="5"/>
    <x v="0"/>
    <x v="7"/>
    <s v="Restaurant"/>
    <x v="4"/>
    <s v="Restoran Sederhana"/>
    <s v="Restaurant"/>
    <n v="1414800"/>
    <n v="1658400"/>
    <x v="2"/>
    <s v="Semarang"/>
    <s v="Completed"/>
    <s v="No"/>
    <s v="No"/>
    <n v="18009200"/>
    <x v="3"/>
    <n v="4"/>
  </r>
  <r>
    <s v="TXN0115"/>
    <d v="2026-04-25T00:00:00"/>
    <n v="2026"/>
    <x v="2"/>
    <x v="5"/>
    <x v="0"/>
    <x v="6"/>
    <s v="Broadband"/>
    <x v="5"/>
    <s v="Apotek Kimia Farma"/>
    <s v="Broadband"/>
    <n v="1084900"/>
    <n v="1193700"/>
    <x v="1"/>
    <s v="Bandung"/>
    <s v="Completed"/>
    <s v="No"/>
    <s v="No"/>
    <n v="16924300"/>
    <x v="3"/>
    <n v="4"/>
  </r>
  <r>
    <s v="TXN0116"/>
    <d v="2026-04-26T00:00:00"/>
    <n v="2026"/>
    <x v="2"/>
    <x v="0"/>
    <x v="0"/>
    <x v="10"/>
    <s v="Bill"/>
    <x v="0"/>
    <s v="Pertamina"/>
    <s v="Bill"/>
    <n v="473600"/>
    <n v="825400"/>
    <x v="1"/>
    <s v="Medan"/>
    <s v="Completed"/>
    <s v="No"/>
    <s v="No"/>
    <n v="16450700"/>
    <x v="3"/>
    <n v="4"/>
  </r>
  <r>
    <s v="TXN0117"/>
    <d v="2026-04-27T00:00:00"/>
    <n v="2026"/>
    <x v="2"/>
    <x v="0"/>
    <x v="0"/>
    <x v="5"/>
    <s v="Clothing"/>
    <x v="1"/>
    <s v="Bibit"/>
    <s v="Clothing"/>
    <n v="1773500"/>
    <n v="241300"/>
    <x v="1"/>
    <s v="Palembang"/>
    <s v="Completed"/>
    <s v="No"/>
    <s v="No"/>
    <n v="14677200"/>
    <x v="3"/>
    <n v="4"/>
  </r>
  <r>
    <s v="TXN0119"/>
    <d v="2026-04-29T00:00:00"/>
    <n v="2026"/>
    <x v="2"/>
    <x v="3"/>
    <x v="0"/>
    <x v="4"/>
    <s v="Pharmacy"/>
    <x v="1"/>
    <s v="Restoran Sederhana"/>
    <s v="Pharmacy"/>
    <n v="1187700"/>
    <n v="932000"/>
    <x v="0"/>
    <s v="Palembang"/>
    <s v="Completed"/>
    <s v="No"/>
    <s v="No"/>
    <n v="13489500"/>
    <x v="3"/>
    <n v="4"/>
  </r>
  <r>
    <s v="TXN0120"/>
    <d v="2026-04-30T00:00:00"/>
    <n v="2026"/>
    <x v="0"/>
    <x v="0"/>
    <x v="0"/>
    <x v="5"/>
    <s v="Clothing"/>
    <x v="1"/>
    <s v="Alfamart"/>
    <s v="Clothing"/>
    <n v="1024800"/>
    <n v="1355400"/>
    <x v="0"/>
    <s v="Semarang"/>
    <s v="Completed"/>
    <s v="No"/>
    <s v="No"/>
    <n v="12464700"/>
    <x v="3"/>
    <n v="4"/>
  </r>
  <r>
    <s v="TXN0121"/>
    <d v="2026-05-01T00:00:00"/>
    <n v="2026"/>
    <x v="1"/>
    <x v="5"/>
    <x v="0"/>
    <x v="4"/>
    <s v="Pharmacy"/>
    <x v="4"/>
    <s v="PT Sejahtera Makmur"/>
    <s v="Pharmacy"/>
    <n v="1060800"/>
    <n v="1328000"/>
    <x v="3"/>
    <s v="Malang"/>
    <s v="Completed"/>
    <s v="Yes"/>
    <s v="No"/>
    <n v="11403900"/>
    <x v="4"/>
    <n v="5"/>
  </r>
  <r>
    <s v="TXN0122"/>
    <d v="2026-05-02T00:00:00"/>
    <n v="2026"/>
    <x v="2"/>
    <x v="2"/>
    <x v="0"/>
    <x v="2"/>
    <s v="Petrol"/>
    <x v="3"/>
    <s v="Bibit"/>
    <s v="Petrol"/>
    <n v="1440600"/>
    <n v="336100"/>
    <x v="1"/>
    <s v="Yogyakarta"/>
    <s v="Completed"/>
    <s v="No"/>
    <s v="No"/>
    <n v="9963300"/>
    <x v="4"/>
    <n v="5"/>
  </r>
  <r>
    <s v="TXN0123"/>
    <d v="2026-05-03T00:00:00"/>
    <n v="2026"/>
    <x v="0"/>
    <x v="5"/>
    <x v="0"/>
    <x v="0"/>
    <s v="House Rent"/>
    <x v="5"/>
    <s v="Tokopedia"/>
    <s v="House Rent"/>
    <n v="1604300"/>
    <n v="376900"/>
    <x v="2"/>
    <s v="Malang"/>
    <s v="Completed"/>
    <s v="No"/>
    <s v="No"/>
    <n v="8359000"/>
    <x v="4"/>
    <n v="5"/>
  </r>
  <r>
    <s v="TXN0124"/>
    <d v="2026-05-04T00:00:00"/>
    <n v="2026"/>
    <x v="1"/>
    <x v="2"/>
    <x v="1"/>
    <x v="9"/>
    <s v="Monthly Salary"/>
    <x v="5"/>
    <s v="Alfamart"/>
    <s v="Monthly Salary"/>
    <n v="6054100"/>
    <n v="0"/>
    <x v="2"/>
    <s v="Yogyakarta"/>
    <s v="Completed"/>
    <s v="No"/>
    <s v="Yes"/>
    <n v="14413100"/>
    <x v="4"/>
    <n v="5"/>
  </r>
  <r>
    <s v="TXN0125"/>
    <d v="2026-05-05T00:00:00"/>
    <n v="2026"/>
    <x v="1"/>
    <x v="4"/>
    <x v="1"/>
    <x v="3"/>
    <s v="Bonus"/>
    <x v="2"/>
    <s v="Bibit"/>
    <s v="Bonus"/>
    <n v="1487000"/>
    <n v="0"/>
    <x v="2"/>
    <s v="Makassar"/>
    <s v="Completed"/>
    <s v="Yes"/>
    <s v="No"/>
    <n v="15900100"/>
    <x v="4"/>
    <n v="5"/>
  </r>
  <r>
    <s v="TXN0126"/>
    <d v="2026-05-06T00:00:00"/>
    <n v="2026"/>
    <x v="0"/>
    <x v="4"/>
    <x v="0"/>
    <x v="7"/>
    <s v="Restaurant"/>
    <x v="0"/>
    <s v="Alfamart"/>
    <s v="Restaurant"/>
    <n v="1542600"/>
    <n v="1603000"/>
    <x v="2"/>
    <s v="Medan"/>
    <s v="Completed"/>
    <s v="No"/>
    <s v="No"/>
    <n v="14357500"/>
    <x v="4"/>
    <n v="5"/>
  </r>
  <r>
    <s v="TXN0127"/>
    <d v="2026-05-07T00:00:00"/>
    <n v="2026"/>
    <x v="0"/>
    <x v="0"/>
    <x v="1"/>
    <x v="1"/>
    <s v="Interest"/>
    <x v="0"/>
    <s v="Alfamart"/>
    <s v="Interest"/>
    <n v="1513800"/>
    <n v="0"/>
    <x v="3"/>
    <s v="Bandung"/>
    <s v="Completed"/>
    <s v="No"/>
    <s v="No"/>
    <n v="15871300"/>
    <x v="4"/>
    <n v="5"/>
  </r>
  <r>
    <s v="TXN0128"/>
    <d v="2026-05-08T00:00:00"/>
    <n v="2026"/>
    <x v="1"/>
    <x v="2"/>
    <x v="0"/>
    <x v="4"/>
    <s v="Pharmacy"/>
    <x v="5"/>
    <s v="Shopee"/>
    <s v="Pharmacy"/>
    <n v="1491900"/>
    <n v="1338400"/>
    <x v="3"/>
    <s v="Palembang"/>
    <s v="Completed"/>
    <s v="No"/>
    <s v="No"/>
    <n v="14379400"/>
    <x v="4"/>
    <n v="5"/>
  </r>
  <r>
    <s v="TXN0130"/>
    <d v="2026-05-10T00:00:00"/>
    <n v="2026"/>
    <x v="0"/>
    <x v="3"/>
    <x v="0"/>
    <x v="5"/>
    <s v="Clothing"/>
    <x v="2"/>
    <s v="Telkomsel"/>
    <s v="Clothing"/>
    <n v="1213300"/>
    <n v="777700"/>
    <x v="2"/>
    <s v="Denpasar"/>
    <s v="Completed"/>
    <s v="Yes"/>
    <s v="Yes"/>
    <n v="13166100"/>
    <x v="4"/>
    <n v="5"/>
  </r>
  <r>
    <s v="TXN0131"/>
    <d v="2026-05-11T00:00:00"/>
    <n v="2026"/>
    <x v="2"/>
    <x v="3"/>
    <x v="0"/>
    <x v="2"/>
    <s v="Petrol"/>
    <x v="0"/>
    <s v="Alfamart"/>
    <s v="Petrol"/>
    <n v="732900"/>
    <n v="454400"/>
    <x v="3"/>
    <s v="Surabaya"/>
    <s v="Completed"/>
    <s v="No"/>
    <s v="No"/>
    <n v="12433200"/>
    <x v="4"/>
    <n v="5"/>
  </r>
  <r>
    <s v="TXN0132"/>
    <d v="2026-05-12T00:00:00"/>
    <n v="2026"/>
    <x v="1"/>
    <x v="4"/>
    <x v="0"/>
    <x v="2"/>
    <s v="Petrol"/>
    <x v="2"/>
    <s v="Telkomsel"/>
    <s v="Petrol"/>
    <n v="1045000"/>
    <n v="563400"/>
    <x v="2"/>
    <s v="Jakarta"/>
    <s v="Completed"/>
    <s v="Yes"/>
    <s v="Yes"/>
    <n v="11388200"/>
    <x v="4"/>
    <n v="5"/>
  </r>
  <r>
    <s v="TXN0133"/>
    <d v="2026-05-13T00:00:00"/>
    <n v="2026"/>
    <x v="2"/>
    <x v="4"/>
    <x v="0"/>
    <x v="10"/>
    <s v="Bill"/>
    <x v="5"/>
    <s v="Apotek Kimia Farma"/>
    <s v="Bill"/>
    <n v="204900"/>
    <n v="208900"/>
    <x v="0"/>
    <s v="Surabaya"/>
    <s v="Completed"/>
    <s v="No"/>
    <s v="No"/>
    <n v="11183300"/>
    <x v="4"/>
    <n v="5"/>
  </r>
  <r>
    <s v="TXN0134"/>
    <d v="2026-05-14T00:00:00"/>
    <n v="2026"/>
    <x v="0"/>
    <x v="3"/>
    <x v="0"/>
    <x v="10"/>
    <s v="Bill"/>
    <x v="1"/>
    <s v="Pertamina"/>
    <s v="Bill"/>
    <n v="563800"/>
    <n v="761100"/>
    <x v="1"/>
    <s v="Bandung"/>
    <s v="Completed"/>
    <s v="No"/>
    <s v="Yes"/>
    <n v="10619500"/>
    <x v="4"/>
    <n v="5"/>
  </r>
  <r>
    <s v="TXN0135"/>
    <d v="2026-05-15T00:00:00"/>
    <n v="2026"/>
    <x v="2"/>
    <x v="3"/>
    <x v="0"/>
    <x v="2"/>
    <s v="Petrol"/>
    <x v="3"/>
    <s v="PT Sejahtera Makmur"/>
    <s v="Petrol"/>
    <n v="1416700"/>
    <n v="792700"/>
    <x v="1"/>
    <s v="Bandung"/>
    <s v="Completed"/>
    <s v="Yes"/>
    <s v="No"/>
    <n v="9202800"/>
    <x v="4"/>
    <n v="5"/>
  </r>
  <r>
    <s v="TXN0136"/>
    <d v="2026-05-16T00:00:00"/>
    <n v="2026"/>
    <x v="2"/>
    <x v="0"/>
    <x v="0"/>
    <x v="10"/>
    <s v="Bill"/>
    <x v="0"/>
    <s v="Tokopedia"/>
    <s v="Bill"/>
    <n v="1016000"/>
    <n v="1128300"/>
    <x v="3"/>
    <s v="Yogyakarta"/>
    <s v="Completed"/>
    <s v="Yes"/>
    <s v="No"/>
    <n v="8186800"/>
    <x v="4"/>
    <n v="5"/>
  </r>
  <r>
    <s v="TXN0137"/>
    <d v="2026-05-17T00:00:00"/>
    <n v="2026"/>
    <x v="1"/>
    <x v="3"/>
    <x v="0"/>
    <x v="2"/>
    <s v="Petrol"/>
    <x v="1"/>
    <s v="Bibit"/>
    <s v="Petrol"/>
    <n v="929400"/>
    <n v="1113600"/>
    <x v="0"/>
    <s v="Malang"/>
    <s v="Completed"/>
    <s v="Yes"/>
    <s v="No"/>
    <n v="7257400"/>
    <x v="4"/>
    <n v="5"/>
  </r>
  <r>
    <s v="TXN0138"/>
    <d v="2026-05-18T00:00:00"/>
    <n v="2026"/>
    <x v="1"/>
    <x v="5"/>
    <x v="0"/>
    <x v="2"/>
    <s v="Petrol"/>
    <x v="0"/>
    <s v="PT Sejahtera Makmur"/>
    <s v="Petrol"/>
    <n v="1202100"/>
    <n v="1882700"/>
    <x v="3"/>
    <s v="Surabaya"/>
    <s v="Completed"/>
    <s v="No"/>
    <s v="No"/>
    <n v="6055300"/>
    <x v="4"/>
    <n v="5"/>
  </r>
  <r>
    <s v="TXN0139"/>
    <d v="2026-05-19T00:00:00"/>
    <n v="2026"/>
    <x v="0"/>
    <x v="3"/>
    <x v="0"/>
    <x v="6"/>
    <s v="Broadband"/>
    <x v="3"/>
    <s v="PT Sejahtera Makmur"/>
    <s v="Broadband"/>
    <n v="1867700"/>
    <n v="1498800"/>
    <x v="0"/>
    <s v="Yogyakarta"/>
    <s v="Completed"/>
    <s v="Yes"/>
    <s v="No"/>
    <n v="4187600"/>
    <x v="4"/>
    <n v="5"/>
  </r>
  <r>
    <s v="TXN0141"/>
    <d v="2026-05-21T00:00:00"/>
    <n v="2026"/>
    <x v="0"/>
    <x v="2"/>
    <x v="0"/>
    <x v="11"/>
    <s v="Supermarket"/>
    <x v="1"/>
    <s v="Telkomsel"/>
    <s v="Supermarket"/>
    <n v="395500"/>
    <n v="243600"/>
    <x v="0"/>
    <s v="Yogyakarta"/>
    <s v="Completed"/>
    <s v="No"/>
    <s v="No"/>
    <n v="3792100"/>
    <x v="4"/>
    <n v="5"/>
  </r>
  <r>
    <s v="TXN0142"/>
    <d v="2026-05-22T00:00:00"/>
    <n v="2026"/>
    <x v="1"/>
    <x v="0"/>
    <x v="0"/>
    <x v="6"/>
    <s v="Broadband"/>
    <x v="2"/>
    <s v="Restoran Sederhana"/>
    <s v="Broadband"/>
    <n v="729500"/>
    <n v="1478500"/>
    <x v="3"/>
    <s v="Malang"/>
    <s v="Completed"/>
    <s v="No"/>
    <s v="No"/>
    <n v="3062600"/>
    <x v="4"/>
    <n v="5"/>
  </r>
  <r>
    <s v="TXN0143"/>
    <d v="2026-05-23T00:00:00"/>
    <n v="2026"/>
    <x v="0"/>
    <x v="3"/>
    <x v="0"/>
    <x v="0"/>
    <s v="House Rent"/>
    <x v="2"/>
    <s v="Shopee"/>
    <s v="House Rent"/>
    <n v="1772600"/>
    <n v="885700"/>
    <x v="2"/>
    <s v="Denpasar"/>
    <s v="Completed"/>
    <s v="No"/>
    <s v="No"/>
    <n v="1290000"/>
    <x v="4"/>
    <n v="5"/>
  </r>
  <r>
    <s v="TXN0144"/>
    <d v="2026-05-24T00:00:00"/>
    <n v="2026"/>
    <x v="1"/>
    <x v="2"/>
    <x v="1"/>
    <x v="1"/>
    <s v="Interest"/>
    <x v="0"/>
    <s v="Shopee"/>
    <s v="Interest"/>
    <n v="5448100"/>
    <n v="0"/>
    <x v="3"/>
    <s v="Palembang"/>
    <s v="Completed"/>
    <s v="Yes"/>
    <s v="No"/>
    <n v="6738100"/>
    <x v="4"/>
    <n v="5"/>
  </r>
  <r>
    <s v="TXN0145"/>
    <d v="2026-05-25T00:00:00"/>
    <n v="2026"/>
    <x v="0"/>
    <x v="3"/>
    <x v="1"/>
    <x v="1"/>
    <s v="Interest"/>
    <x v="1"/>
    <s v="Telkomsel"/>
    <s v="Interest"/>
    <n v="464300"/>
    <n v="0"/>
    <x v="1"/>
    <s v="Semarang"/>
    <s v="Completed"/>
    <s v="No"/>
    <s v="No"/>
    <n v="7202400"/>
    <x v="4"/>
    <n v="5"/>
  </r>
  <r>
    <s v="TXN0147"/>
    <d v="2026-05-27T00:00:00"/>
    <n v="2026"/>
    <x v="0"/>
    <x v="0"/>
    <x v="0"/>
    <x v="5"/>
    <s v="Clothing"/>
    <x v="2"/>
    <s v="Tokopedia"/>
    <s v="Clothing"/>
    <n v="1237300"/>
    <n v="732200"/>
    <x v="0"/>
    <s v="Palembang"/>
    <s v="Completed"/>
    <s v="No"/>
    <s v="Yes"/>
    <n v="5965100"/>
    <x v="4"/>
    <n v="5"/>
  </r>
  <r>
    <s v="TXN0148"/>
    <d v="2026-05-28T00:00:00"/>
    <n v="2026"/>
    <x v="2"/>
    <x v="4"/>
    <x v="0"/>
    <x v="0"/>
    <s v="House Rent"/>
    <x v="3"/>
    <s v="Tokopedia"/>
    <s v="House Rent"/>
    <n v="1902700"/>
    <n v="780300"/>
    <x v="0"/>
    <s v="Jakarta"/>
    <s v="Completed"/>
    <s v="No"/>
    <s v="No"/>
    <n v="4062400"/>
    <x v="4"/>
    <n v="5"/>
  </r>
  <r>
    <s v="TXN0150"/>
    <d v="2026-05-30T00:00:00"/>
    <n v="2026"/>
    <x v="2"/>
    <x v="2"/>
    <x v="0"/>
    <x v="2"/>
    <s v="Petrol"/>
    <x v="3"/>
    <s v="Apotek Kimia Farma"/>
    <s v="Petrol"/>
    <n v="702900"/>
    <n v="1685700"/>
    <x v="3"/>
    <s v="Surabaya"/>
    <s v="Completed"/>
    <s v="No"/>
    <s v="No"/>
    <n v="3359500"/>
    <x v="4"/>
    <n v="5"/>
  </r>
  <r>
    <s v="TXN0151"/>
    <d v="2026-05-31T00:00:00"/>
    <n v="2026"/>
    <x v="2"/>
    <x v="0"/>
    <x v="0"/>
    <x v="10"/>
    <s v="Bill"/>
    <x v="2"/>
    <s v="Apotek Kimia Farma"/>
    <s v="Bill"/>
    <n v="988200"/>
    <n v="1694400"/>
    <x v="3"/>
    <s v="Palembang"/>
    <s v="Completed"/>
    <s v="No"/>
    <s v="Yes"/>
    <n v="2371300"/>
    <x v="4"/>
    <n v="5"/>
  </r>
  <r>
    <s v="TXN0152"/>
    <d v="2026-06-01T00:00:00"/>
    <n v="2026"/>
    <x v="0"/>
    <x v="1"/>
    <x v="0"/>
    <x v="2"/>
    <s v="Petrol"/>
    <x v="1"/>
    <s v="Restoran Sederhana"/>
    <s v="Petrol"/>
    <n v="660500"/>
    <n v="380000"/>
    <x v="2"/>
    <s v="Semarang"/>
    <s v="Completed"/>
    <s v="No"/>
    <s v="No"/>
    <n v="1710800"/>
    <x v="5"/>
    <n v="6"/>
  </r>
  <r>
    <s v="TXN0153"/>
    <d v="2026-06-02T00:00:00"/>
    <n v="2026"/>
    <x v="2"/>
    <x v="5"/>
    <x v="0"/>
    <x v="10"/>
    <s v="Bill"/>
    <x v="1"/>
    <s v="Shopee"/>
    <s v="Bill"/>
    <n v="1133900"/>
    <n v="1604000"/>
    <x v="2"/>
    <s v="Makassar"/>
    <s v="Completed"/>
    <s v="No"/>
    <s v="No"/>
    <n v="576900"/>
    <x v="5"/>
    <n v="6"/>
  </r>
  <r>
    <s v="TXN0154"/>
    <d v="2026-06-03T00:00:00"/>
    <n v="2026"/>
    <x v="1"/>
    <x v="4"/>
    <x v="0"/>
    <x v="5"/>
    <s v="Clothing"/>
    <x v="2"/>
    <s v="Bibit"/>
    <s v="Clothing"/>
    <n v="689200"/>
    <n v="1500400"/>
    <x v="0"/>
    <s v="Surabaya"/>
    <s v="Completed"/>
    <s v="No"/>
    <s v="No"/>
    <n v="-112300"/>
    <x v="5"/>
    <n v="6"/>
  </r>
  <r>
    <s v="TXN0156"/>
    <d v="2026-06-05T00:00:00"/>
    <n v="2026"/>
    <x v="2"/>
    <x v="2"/>
    <x v="1"/>
    <x v="1"/>
    <s v="Interest"/>
    <x v="4"/>
    <s v="Tokopedia"/>
    <s v="Interest"/>
    <n v="1723200"/>
    <n v="0"/>
    <x v="3"/>
    <s v="Semarang"/>
    <s v="Completed"/>
    <s v="Yes"/>
    <s v="No"/>
    <n v="1610900"/>
    <x v="5"/>
    <n v="6"/>
  </r>
  <r>
    <s v="TXN0157"/>
    <d v="2026-06-06T00:00:00"/>
    <n v="2026"/>
    <x v="1"/>
    <x v="4"/>
    <x v="0"/>
    <x v="7"/>
    <s v="Restaurant"/>
    <x v="2"/>
    <s v="Shopee"/>
    <s v="Restaurant"/>
    <n v="712200"/>
    <n v="457300"/>
    <x v="2"/>
    <s v="Yogyakarta"/>
    <s v="Completed"/>
    <s v="No"/>
    <s v="No"/>
    <n v="898700"/>
    <x v="5"/>
    <n v="6"/>
  </r>
  <r>
    <s v="TXN0158"/>
    <d v="2026-06-07T00:00:00"/>
    <n v="2026"/>
    <x v="1"/>
    <x v="1"/>
    <x v="1"/>
    <x v="1"/>
    <s v="Interest"/>
    <x v="3"/>
    <s v="Apotek Kimia Farma"/>
    <s v="Interest"/>
    <n v="2134800"/>
    <n v="0"/>
    <x v="0"/>
    <s v="Bandung"/>
    <s v="Completed"/>
    <s v="Yes"/>
    <s v="No"/>
    <n v="3033500"/>
    <x v="5"/>
    <n v="6"/>
  </r>
  <r>
    <s v="TXN0160"/>
    <d v="2026-06-09T00:00:00"/>
    <n v="2026"/>
    <x v="0"/>
    <x v="0"/>
    <x v="0"/>
    <x v="4"/>
    <s v="Pharmacy"/>
    <x v="2"/>
    <s v="Tokopedia"/>
    <s v="Pharmacy"/>
    <n v="396600"/>
    <n v="1729000"/>
    <x v="0"/>
    <s v="Denpasar"/>
    <s v="Completed"/>
    <s v="No"/>
    <s v="No"/>
    <n v="2636900"/>
    <x v="5"/>
    <n v="6"/>
  </r>
  <r>
    <s v="TXN0161"/>
    <d v="2026-06-10T00:00:00"/>
    <n v="2026"/>
    <x v="0"/>
    <x v="1"/>
    <x v="1"/>
    <x v="3"/>
    <s v="Bonus"/>
    <x v="1"/>
    <s v="Shopee"/>
    <s v="Bonus"/>
    <n v="4826700"/>
    <n v="0"/>
    <x v="3"/>
    <s v="Jakarta"/>
    <s v="Completed"/>
    <s v="No"/>
    <s v="No"/>
    <n v="7463600"/>
    <x v="5"/>
    <n v="6"/>
  </r>
  <r>
    <s v="TXN0162"/>
    <d v="2026-06-11T00:00:00"/>
    <n v="2026"/>
    <x v="1"/>
    <x v="3"/>
    <x v="0"/>
    <x v="4"/>
    <s v="Pharmacy"/>
    <x v="0"/>
    <s v="Shopee"/>
    <s v="Pharmacy"/>
    <n v="857200"/>
    <n v="1286800"/>
    <x v="2"/>
    <s v="Semarang"/>
    <s v="Completed"/>
    <s v="No"/>
    <s v="No"/>
    <n v="6606400"/>
    <x v="5"/>
    <n v="6"/>
  </r>
  <r>
    <s v="TXN0163"/>
    <d v="2026-06-12T00:00:00"/>
    <n v="2026"/>
    <x v="2"/>
    <x v="1"/>
    <x v="1"/>
    <x v="9"/>
    <s v="Monthly Salary"/>
    <x v="0"/>
    <s v="Tokopedia"/>
    <s v="Monthly Salary"/>
    <n v="247900"/>
    <n v="0"/>
    <x v="2"/>
    <s v="Palembang"/>
    <s v="Completed"/>
    <s v="Yes"/>
    <s v="Yes"/>
    <n v="6854300"/>
    <x v="5"/>
    <n v="6"/>
  </r>
  <r>
    <s v="TXN0164"/>
    <d v="2026-06-13T00:00:00"/>
    <n v="2026"/>
    <x v="0"/>
    <x v="2"/>
    <x v="0"/>
    <x v="2"/>
    <s v="Petrol"/>
    <x v="2"/>
    <s v="Bibit"/>
    <s v="Petrol"/>
    <n v="1462900"/>
    <n v="1110500"/>
    <x v="0"/>
    <s v="Bandung"/>
    <s v="Completed"/>
    <s v="No"/>
    <s v="No"/>
    <n v="5391400"/>
    <x v="5"/>
    <n v="6"/>
  </r>
  <r>
    <s v="TXN0165"/>
    <d v="2026-06-14T00:00:00"/>
    <n v="2026"/>
    <x v="0"/>
    <x v="2"/>
    <x v="0"/>
    <x v="6"/>
    <s v="Broadband"/>
    <x v="5"/>
    <s v="Bibit"/>
    <s v="Broadband"/>
    <n v="877700"/>
    <n v="985900"/>
    <x v="1"/>
    <s v="Palembang"/>
    <s v="Completed"/>
    <s v="Yes"/>
    <s v="No"/>
    <n v="4513700"/>
    <x v="5"/>
    <n v="6"/>
  </r>
  <r>
    <s v="TXN0166"/>
    <d v="2026-06-15T00:00:00"/>
    <n v="2026"/>
    <x v="2"/>
    <x v="2"/>
    <x v="1"/>
    <x v="9"/>
    <s v="Monthly Salary"/>
    <x v="0"/>
    <s v="Alfamart"/>
    <s v="Monthly Salary"/>
    <n v="817400"/>
    <n v="0"/>
    <x v="3"/>
    <s v="Surabaya"/>
    <s v="Completed"/>
    <s v="No"/>
    <s v="No"/>
    <n v="5331100"/>
    <x v="5"/>
    <n v="6"/>
  </r>
  <r>
    <s v="TXN0167"/>
    <d v="2026-06-16T00:00:00"/>
    <n v="2026"/>
    <x v="2"/>
    <x v="4"/>
    <x v="0"/>
    <x v="2"/>
    <s v="Petrol"/>
    <x v="0"/>
    <s v="Shopee"/>
    <s v="Petrol"/>
    <n v="454800"/>
    <n v="1836200"/>
    <x v="2"/>
    <s v="Semarang"/>
    <s v="Completed"/>
    <s v="No"/>
    <s v="Yes"/>
    <n v="4876300"/>
    <x v="5"/>
    <n v="6"/>
  </r>
  <r>
    <s v="TXN0168"/>
    <d v="2026-06-17T00:00:00"/>
    <n v="2026"/>
    <x v="0"/>
    <x v="1"/>
    <x v="0"/>
    <x v="11"/>
    <s v="Supermarket"/>
    <x v="4"/>
    <s v="Alfamart"/>
    <s v="Supermarket"/>
    <n v="1509900"/>
    <n v="917300"/>
    <x v="1"/>
    <s v="Palembang"/>
    <s v="Completed"/>
    <s v="No"/>
    <s v="Yes"/>
    <n v="3366400"/>
    <x v="5"/>
    <n v="6"/>
  </r>
  <r>
    <s v="TXN0170"/>
    <d v="2026-06-19T00:00:00"/>
    <n v="2026"/>
    <x v="1"/>
    <x v="2"/>
    <x v="1"/>
    <x v="3"/>
    <s v="Bonus"/>
    <x v="5"/>
    <s v="Bibit"/>
    <s v="Bonus"/>
    <n v="4278300"/>
    <n v="0"/>
    <x v="1"/>
    <s v="Malang"/>
    <s v="Completed"/>
    <s v="No"/>
    <s v="No"/>
    <n v="7644700"/>
    <x v="5"/>
    <n v="6"/>
  </r>
  <r>
    <s v="TXN0171"/>
    <d v="2026-06-20T00:00:00"/>
    <n v="2026"/>
    <x v="0"/>
    <x v="2"/>
    <x v="0"/>
    <x v="5"/>
    <s v="Clothing"/>
    <x v="2"/>
    <s v="Restoran Sederhana"/>
    <s v="Clothing"/>
    <n v="1252800"/>
    <n v="1613600"/>
    <x v="2"/>
    <s v="Medan"/>
    <s v="Completed"/>
    <s v="No"/>
    <s v="No"/>
    <n v="6391900"/>
    <x v="5"/>
    <n v="6"/>
  </r>
  <r>
    <s v="TXN0172"/>
    <d v="2026-06-21T00:00:00"/>
    <n v="2026"/>
    <x v="0"/>
    <x v="5"/>
    <x v="1"/>
    <x v="1"/>
    <s v="Interest"/>
    <x v="4"/>
    <s v="Shopee"/>
    <s v="Interest"/>
    <n v="6301500"/>
    <n v="0"/>
    <x v="2"/>
    <s v="Bandung"/>
    <s v="Completed"/>
    <s v="No"/>
    <s v="No"/>
    <n v="12693400"/>
    <x v="5"/>
    <n v="6"/>
  </r>
  <r>
    <s v="TXN0175"/>
    <d v="2026-06-24T00:00:00"/>
    <n v="2026"/>
    <x v="1"/>
    <x v="0"/>
    <x v="0"/>
    <x v="7"/>
    <s v="Restaurant"/>
    <x v="5"/>
    <s v="Tokopedia"/>
    <s v="Restaurant"/>
    <n v="1951600"/>
    <n v="733900"/>
    <x v="3"/>
    <s v="Makassar"/>
    <s v="Completed"/>
    <s v="Yes"/>
    <s v="Yes"/>
    <n v="10741800"/>
    <x v="5"/>
    <n v="6"/>
  </r>
  <r>
    <s v="TXN0178"/>
    <d v="2026-06-27T00:00:00"/>
    <n v="2026"/>
    <x v="2"/>
    <x v="1"/>
    <x v="0"/>
    <x v="10"/>
    <s v="Bill"/>
    <x v="3"/>
    <s v="Shopee"/>
    <s v="Bill"/>
    <n v="441300"/>
    <n v="186000"/>
    <x v="1"/>
    <s v="Bandung"/>
    <s v="Completed"/>
    <s v="No"/>
    <s v="No"/>
    <n v="10300500"/>
    <x v="5"/>
    <n v="6"/>
  </r>
  <r>
    <s v="TXN0179"/>
    <d v="2026-06-28T00:00:00"/>
    <n v="2026"/>
    <x v="0"/>
    <x v="2"/>
    <x v="0"/>
    <x v="11"/>
    <s v="Supermarket"/>
    <x v="4"/>
    <s v="Alfamart"/>
    <s v="Supermarket"/>
    <n v="1326900"/>
    <n v="255500"/>
    <x v="3"/>
    <s v="Palembang"/>
    <s v="Completed"/>
    <s v="No"/>
    <s v="No"/>
    <n v="8973600"/>
    <x v="5"/>
    <n v="6"/>
  </r>
  <r>
    <s v="TXN0181"/>
    <d v="2026-06-30T00:00:00"/>
    <n v="2026"/>
    <x v="2"/>
    <x v="5"/>
    <x v="0"/>
    <x v="10"/>
    <s v="Bill"/>
    <x v="1"/>
    <s v="Pertamina"/>
    <s v="Bill"/>
    <n v="114000"/>
    <n v="1091400"/>
    <x v="2"/>
    <s v="Palembang"/>
    <s v="Completed"/>
    <s v="Yes"/>
    <s v="No"/>
    <n v="8859600"/>
    <x v="5"/>
    <n v="6"/>
  </r>
  <r>
    <s v="TXN0183"/>
    <d v="2026-07-02T00:00:00"/>
    <n v="2026"/>
    <x v="1"/>
    <x v="0"/>
    <x v="0"/>
    <x v="6"/>
    <s v="Broadband"/>
    <x v="5"/>
    <s v="Alfamart"/>
    <s v="Broadband"/>
    <n v="1417600"/>
    <n v="280700"/>
    <x v="1"/>
    <s v="Jakarta"/>
    <s v="Completed"/>
    <s v="No"/>
    <s v="No"/>
    <n v="7442000"/>
    <x v="6"/>
    <n v="7"/>
  </r>
  <r>
    <s v="TXN0184"/>
    <d v="2026-07-03T00:00:00"/>
    <n v="2026"/>
    <x v="1"/>
    <x v="3"/>
    <x v="0"/>
    <x v="5"/>
    <s v="Clothing"/>
    <x v="3"/>
    <s v="Pertamina"/>
    <s v="Clothing"/>
    <n v="1164500"/>
    <n v="1372800"/>
    <x v="3"/>
    <s v="Malang"/>
    <s v="Completed"/>
    <s v="No"/>
    <s v="No"/>
    <n v="6277500"/>
    <x v="6"/>
    <n v="7"/>
  </r>
  <r>
    <s v="TXN0185"/>
    <d v="2026-07-04T00:00:00"/>
    <n v="2026"/>
    <x v="0"/>
    <x v="2"/>
    <x v="0"/>
    <x v="4"/>
    <s v="Pharmacy"/>
    <x v="3"/>
    <s v="Apotek Kimia Farma"/>
    <s v="Pharmacy"/>
    <n v="109900"/>
    <n v="1424200"/>
    <x v="0"/>
    <s v="Makassar"/>
    <s v="Completed"/>
    <s v="Yes"/>
    <s v="No"/>
    <n v="6167600"/>
    <x v="6"/>
    <n v="7"/>
  </r>
  <r>
    <s v="TXN0187"/>
    <d v="2026-07-06T00:00:00"/>
    <n v="2026"/>
    <x v="0"/>
    <x v="0"/>
    <x v="0"/>
    <x v="4"/>
    <s v="Pharmacy"/>
    <x v="5"/>
    <s v="Alfamart"/>
    <s v="Pharmacy"/>
    <n v="1644100"/>
    <n v="424700"/>
    <x v="3"/>
    <s v="Denpasar"/>
    <s v="Completed"/>
    <s v="No"/>
    <s v="Yes"/>
    <n v="4523500"/>
    <x v="6"/>
    <n v="7"/>
  </r>
  <r>
    <s v="TXN0188"/>
    <d v="2026-07-07T00:00:00"/>
    <n v="2026"/>
    <x v="2"/>
    <x v="3"/>
    <x v="0"/>
    <x v="2"/>
    <s v="Petrol"/>
    <x v="1"/>
    <s v="Restoran Sederhana"/>
    <s v="Petrol"/>
    <n v="577200"/>
    <n v="1157400"/>
    <x v="0"/>
    <s v="Jakarta"/>
    <s v="Completed"/>
    <s v="No"/>
    <s v="No"/>
    <n v="3946300"/>
    <x v="6"/>
    <n v="7"/>
  </r>
  <r>
    <s v="TXN0189"/>
    <d v="2026-07-08T00:00:00"/>
    <n v="2026"/>
    <x v="2"/>
    <x v="2"/>
    <x v="0"/>
    <x v="5"/>
    <s v="Clothing"/>
    <x v="5"/>
    <s v="Shopee"/>
    <s v="Clothing"/>
    <n v="530000"/>
    <n v="1361900"/>
    <x v="2"/>
    <s v="Surabaya"/>
    <s v="Completed"/>
    <s v="Yes"/>
    <s v="No"/>
    <n v="3416300"/>
    <x v="6"/>
    <n v="7"/>
  </r>
  <r>
    <s v="TXN0190"/>
    <d v="2026-07-09T00:00:00"/>
    <n v="2026"/>
    <x v="0"/>
    <x v="1"/>
    <x v="0"/>
    <x v="5"/>
    <s v="Clothing"/>
    <x v="1"/>
    <s v="Alfamart"/>
    <s v="Clothing"/>
    <n v="1733400"/>
    <n v="475500"/>
    <x v="2"/>
    <s v="Makassar"/>
    <s v="Completed"/>
    <s v="No"/>
    <s v="No"/>
    <n v="1682900"/>
    <x v="6"/>
    <n v="7"/>
  </r>
  <r>
    <s v="TXN0191"/>
    <d v="2026-07-10T00:00:00"/>
    <n v="2026"/>
    <x v="1"/>
    <x v="1"/>
    <x v="0"/>
    <x v="4"/>
    <s v="Pharmacy"/>
    <x v="4"/>
    <s v="Telkomsel"/>
    <s v="Pharmacy"/>
    <n v="65100"/>
    <n v="1149300"/>
    <x v="1"/>
    <s v="Semarang"/>
    <s v="Completed"/>
    <s v="No"/>
    <s v="No"/>
    <n v="1617800"/>
    <x v="6"/>
    <n v="7"/>
  </r>
  <r>
    <s v="TXN0192"/>
    <d v="2026-07-11T00:00:00"/>
    <n v="2026"/>
    <x v="1"/>
    <x v="4"/>
    <x v="0"/>
    <x v="5"/>
    <s v="Clothing"/>
    <x v="5"/>
    <s v="Tokopedia"/>
    <s v="Clothing"/>
    <n v="408900"/>
    <n v="1740200"/>
    <x v="1"/>
    <s v="Medan"/>
    <s v="Completed"/>
    <s v="No"/>
    <s v="No"/>
    <n v="1208900"/>
    <x v="6"/>
    <n v="7"/>
  </r>
  <r>
    <s v="TXN0193"/>
    <d v="2026-07-12T00:00:00"/>
    <n v="2026"/>
    <x v="0"/>
    <x v="1"/>
    <x v="0"/>
    <x v="11"/>
    <s v="Supermarket"/>
    <x v="5"/>
    <s v="Shopee"/>
    <s v="Supermarket"/>
    <n v="1366300"/>
    <n v="1850600"/>
    <x v="3"/>
    <s v="Jakarta"/>
    <s v="Completed"/>
    <s v="No"/>
    <s v="No"/>
    <n v="-157400"/>
    <x v="6"/>
    <n v="7"/>
  </r>
  <r>
    <s v="TXN0194"/>
    <d v="2026-07-13T00:00:00"/>
    <n v="2026"/>
    <x v="2"/>
    <x v="1"/>
    <x v="0"/>
    <x v="7"/>
    <s v="Restaurant"/>
    <x v="2"/>
    <s v="Apotek Kimia Farma"/>
    <s v="Restaurant"/>
    <n v="1905400"/>
    <n v="1891200"/>
    <x v="3"/>
    <s v="Medan"/>
    <s v="Completed"/>
    <s v="Yes"/>
    <s v="No"/>
    <n v="-2062800"/>
    <x v="6"/>
    <n v="7"/>
  </r>
  <r>
    <s v="TXN0195"/>
    <d v="2026-07-14T00:00:00"/>
    <n v="2026"/>
    <x v="0"/>
    <x v="1"/>
    <x v="0"/>
    <x v="11"/>
    <s v="Supermarket"/>
    <x v="3"/>
    <s v="Telkomsel"/>
    <s v="Supermarket"/>
    <n v="1206600"/>
    <n v="1058500"/>
    <x v="3"/>
    <s v="Malang"/>
    <s v="Completed"/>
    <s v="No"/>
    <s v="No"/>
    <n v="-3269400"/>
    <x v="6"/>
    <n v="7"/>
  </r>
  <r>
    <s v="TXN0196"/>
    <d v="2026-07-15T00:00:00"/>
    <n v="2026"/>
    <x v="0"/>
    <x v="3"/>
    <x v="0"/>
    <x v="5"/>
    <s v="Clothing"/>
    <x v="4"/>
    <s v="Tokopedia"/>
    <s v="Clothing"/>
    <n v="1694000"/>
    <n v="1875300"/>
    <x v="2"/>
    <s v="Surabaya"/>
    <s v="Completed"/>
    <s v="No"/>
    <s v="Yes"/>
    <n v="-4963400"/>
    <x v="6"/>
    <n v="7"/>
  </r>
  <r>
    <s v="TXN0198"/>
    <d v="2026-07-17T00:00:00"/>
    <n v="2026"/>
    <x v="0"/>
    <x v="1"/>
    <x v="0"/>
    <x v="11"/>
    <s v="Supermarket"/>
    <x v="5"/>
    <s v="PT Sejahtera Makmur"/>
    <s v="Supermarket"/>
    <n v="297700"/>
    <n v="856600"/>
    <x v="3"/>
    <s v="Surabaya"/>
    <s v="Completed"/>
    <s v="No"/>
    <s v="No"/>
    <n v="-5261100"/>
    <x v="6"/>
    <n v="7"/>
  </r>
  <r>
    <s v="TXN0199"/>
    <d v="2026-07-18T00:00:00"/>
    <n v="2026"/>
    <x v="0"/>
    <x v="4"/>
    <x v="0"/>
    <x v="2"/>
    <s v="Petrol"/>
    <x v="4"/>
    <s v="Tokopedia"/>
    <s v="Petrol"/>
    <n v="657600"/>
    <n v="1844400"/>
    <x v="3"/>
    <s v="Denpasar"/>
    <s v="Completed"/>
    <s v="No"/>
    <s v="Yes"/>
    <n v="-5918700"/>
    <x v="6"/>
    <n v="7"/>
  </r>
  <r>
    <s v="TXN0200"/>
    <d v="2026-07-19T00:00:00"/>
    <n v="2026"/>
    <x v="1"/>
    <x v="2"/>
    <x v="0"/>
    <x v="5"/>
    <s v="Clothing"/>
    <x v="1"/>
    <s v="Apotek Kimia Farma"/>
    <s v="Clothing"/>
    <n v="1742700"/>
    <n v="1031000"/>
    <x v="2"/>
    <s v="Surabaya"/>
    <s v="Completed"/>
    <s v="No"/>
    <s v="No"/>
    <n v="-7661400"/>
    <x v="6"/>
    <n v="7"/>
  </r>
  <r>
    <s v="TXN0202"/>
    <d v="2026-07-21T00:00:00"/>
    <n v="2026"/>
    <x v="0"/>
    <x v="5"/>
    <x v="1"/>
    <x v="1"/>
    <s v="Interest"/>
    <x v="0"/>
    <s v="Apotek Kimia Farma"/>
    <s v="Interest"/>
    <n v="852100"/>
    <n v="0"/>
    <x v="3"/>
    <s v="Palembang"/>
    <s v="Completed"/>
    <s v="No"/>
    <s v="No"/>
    <n v="-6809300"/>
    <x v="6"/>
    <n v="7"/>
  </r>
  <r>
    <s v="TXN0203"/>
    <d v="2026-07-22T00:00:00"/>
    <n v="2026"/>
    <x v="1"/>
    <x v="1"/>
    <x v="0"/>
    <x v="4"/>
    <s v="Pharmacy"/>
    <x v="5"/>
    <s v="PT Sejahtera Makmur"/>
    <s v="Pharmacy"/>
    <n v="1334100"/>
    <n v="356900"/>
    <x v="0"/>
    <s v="Bandung"/>
    <s v="Completed"/>
    <s v="Yes"/>
    <s v="Yes"/>
    <n v="-8143400"/>
    <x v="6"/>
    <n v="7"/>
  </r>
  <r>
    <s v="TXN0204"/>
    <d v="2026-07-23T00:00:00"/>
    <n v="2026"/>
    <x v="2"/>
    <x v="0"/>
    <x v="0"/>
    <x v="6"/>
    <s v="Broadband"/>
    <x v="3"/>
    <s v="Shopee"/>
    <s v="Broadband"/>
    <n v="1509800"/>
    <n v="1546200"/>
    <x v="1"/>
    <s v="Bandung"/>
    <s v="Completed"/>
    <s v="Yes"/>
    <s v="Yes"/>
    <n v="-9653200"/>
    <x v="6"/>
    <n v="7"/>
  </r>
  <r>
    <s v="TXN0205"/>
    <d v="2026-07-24T00:00:00"/>
    <n v="2026"/>
    <x v="0"/>
    <x v="0"/>
    <x v="1"/>
    <x v="9"/>
    <s v="Monthly Salary"/>
    <x v="2"/>
    <s v="Bibit"/>
    <s v="Monthly Salary"/>
    <n v="1110100"/>
    <n v="0"/>
    <x v="3"/>
    <s v="Denpasar"/>
    <s v="Completed"/>
    <s v="No"/>
    <s v="No"/>
    <n v="-8543100"/>
    <x v="6"/>
    <n v="7"/>
  </r>
  <r>
    <s v="TXN0206"/>
    <d v="2026-07-25T00:00:00"/>
    <n v="2026"/>
    <x v="1"/>
    <x v="4"/>
    <x v="0"/>
    <x v="10"/>
    <s v="Bill"/>
    <x v="5"/>
    <s v="Alfamart"/>
    <s v="Bill"/>
    <n v="658400"/>
    <n v="422300"/>
    <x v="1"/>
    <s v="Palembang"/>
    <s v="Completed"/>
    <s v="Yes"/>
    <s v="No"/>
    <n v="-9201500"/>
    <x v="6"/>
    <n v="7"/>
  </r>
  <r>
    <s v="TXN0207"/>
    <d v="2026-07-26T00:00:00"/>
    <n v="2026"/>
    <x v="2"/>
    <x v="1"/>
    <x v="0"/>
    <x v="5"/>
    <s v="Clothing"/>
    <x v="2"/>
    <s v="Bibit"/>
    <s v="Clothing"/>
    <n v="185500"/>
    <n v="1926600"/>
    <x v="2"/>
    <s v="Bandung"/>
    <s v="Completed"/>
    <s v="No"/>
    <s v="Yes"/>
    <n v="-9387000"/>
    <x v="6"/>
    <n v="7"/>
  </r>
  <r>
    <s v="TXN0208"/>
    <d v="2026-07-27T00:00:00"/>
    <n v="2026"/>
    <x v="0"/>
    <x v="2"/>
    <x v="0"/>
    <x v="10"/>
    <s v="Bill"/>
    <x v="4"/>
    <s v="Bibit"/>
    <s v="Bill"/>
    <n v="1973100"/>
    <n v="1491000"/>
    <x v="3"/>
    <s v="Semarang"/>
    <s v="Completed"/>
    <s v="No"/>
    <s v="No"/>
    <n v="-11360100"/>
    <x v="6"/>
    <n v="7"/>
  </r>
  <r>
    <s v="TXN0209"/>
    <d v="2026-07-28T00:00:00"/>
    <n v="2026"/>
    <x v="0"/>
    <x v="5"/>
    <x v="0"/>
    <x v="6"/>
    <s v="Broadband"/>
    <x v="4"/>
    <s v="Shopee"/>
    <s v="Broadband"/>
    <n v="1690800"/>
    <n v="859200"/>
    <x v="2"/>
    <s v="Palembang"/>
    <s v="Completed"/>
    <s v="No"/>
    <s v="No"/>
    <n v="-13050900"/>
    <x v="6"/>
    <n v="7"/>
  </r>
  <r>
    <s v="TXN0210"/>
    <d v="2026-07-29T00:00:00"/>
    <n v="2026"/>
    <x v="1"/>
    <x v="0"/>
    <x v="0"/>
    <x v="11"/>
    <s v="Supermarket"/>
    <x v="4"/>
    <s v="Telkomsel"/>
    <s v="Supermarket"/>
    <n v="1125000"/>
    <n v="1552800"/>
    <x v="2"/>
    <s v="Malang"/>
    <s v="Completed"/>
    <s v="No"/>
    <s v="No"/>
    <n v="-14175900"/>
    <x v="6"/>
    <n v="7"/>
  </r>
  <r>
    <s v="TXN0211"/>
    <d v="2026-07-30T00:00:00"/>
    <n v="2026"/>
    <x v="0"/>
    <x v="5"/>
    <x v="0"/>
    <x v="4"/>
    <s v="Pharmacy"/>
    <x v="3"/>
    <s v="Bibit"/>
    <s v="Pharmacy"/>
    <n v="1145400"/>
    <n v="1776600"/>
    <x v="2"/>
    <s v="Yogyakarta"/>
    <s v="Completed"/>
    <s v="No"/>
    <s v="No"/>
    <n v="-15321300"/>
    <x v="6"/>
    <n v="7"/>
  </r>
  <r>
    <s v="TXN0212"/>
    <d v="2026-07-31T00:00:00"/>
    <n v="2026"/>
    <x v="1"/>
    <x v="5"/>
    <x v="1"/>
    <x v="9"/>
    <s v="Monthly Salary"/>
    <x v="5"/>
    <s v="Shopee"/>
    <s v="Monthly Salary"/>
    <n v="7781000"/>
    <n v="0"/>
    <x v="1"/>
    <s v="Medan"/>
    <s v="Completed"/>
    <s v="No"/>
    <s v="No"/>
    <n v="-7540300"/>
    <x v="6"/>
    <n v="7"/>
  </r>
  <r>
    <s v="TXN0213"/>
    <d v="2026-08-01T00:00:00"/>
    <n v="2026"/>
    <x v="0"/>
    <x v="0"/>
    <x v="0"/>
    <x v="10"/>
    <s v="Bill"/>
    <x v="4"/>
    <s v="Tokopedia"/>
    <s v="Bill"/>
    <n v="71600"/>
    <n v="440000"/>
    <x v="2"/>
    <s v="Palembang"/>
    <s v="Completed"/>
    <s v="No"/>
    <s v="Yes"/>
    <n v="-7611900"/>
    <x v="7"/>
    <n v="8"/>
  </r>
  <r>
    <s v="TXN0214"/>
    <d v="2026-08-02T00:00:00"/>
    <n v="2026"/>
    <x v="0"/>
    <x v="1"/>
    <x v="1"/>
    <x v="1"/>
    <s v="Interest"/>
    <x v="5"/>
    <s v="Apotek Kimia Farma"/>
    <s v="Interest"/>
    <n v="841000"/>
    <n v="0"/>
    <x v="1"/>
    <s v="Medan"/>
    <s v="Completed"/>
    <s v="No"/>
    <s v="No"/>
    <n v="-6770900"/>
    <x v="7"/>
    <n v="8"/>
  </r>
  <r>
    <s v="TXN0215"/>
    <d v="2026-08-03T00:00:00"/>
    <n v="2026"/>
    <x v="2"/>
    <x v="3"/>
    <x v="0"/>
    <x v="4"/>
    <s v="Pharmacy"/>
    <x v="1"/>
    <s v="Pertamina"/>
    <s v="Pharmacy"/>
    <n v="1027700"/>
    <n v="662700"/>
    <x v="2"/>
    <s v="Semarang"/>
    <s v="Completed"/>
    <s v="No"/>
    <s v="No"/>
    <n v="-7798600"/>
    <x v="7"/>
    <n v="8"/>
  </r>
  <r>
    <s v="TXN0216"/>
    <d v="2026-08-04T00:00:00"/>
    <n v="2026"/>
    <x v="1"/>
    <x v="5"/>
    <x v="1"/>
    <x v="8"/>
    <s v="Project"/>
    <x v="3"/>
    <s v="Telkomsel"/>
    <s v="Project"/>
    <n v="2389300"/>
    <n v="0"/>
    <x v="0"/>
    <s v="Yogyakarta"/>
    <s v="Completed"/>
    <s v="No"/>
    <s v="Yes"/>
    <n v="-5409300"/>
    <x v="7"/>
    <n v="8"/>
  </r>
  <r>
    <s v="TXN0217"/>
    <d v="2026-08-05T00:00:00"/>
    <n v="2026"/>
    <x v="2"/>
    <x v="5"/>
    <x v="0"/>
    <x v="6"/>
    <s v="Broadband"/>
    <x v="3"/>
    <s v="Telkomsel"/>
    <s v="Broadband"/>
    <n v="58500"/>
    <n v="1228600"/>
    <x v="2"/>
    <s v="Makassar"/>
    <s v="Completed"/>
    <s v="No"/>
    <s v="No"/>
    <n v="-5467800"/>
    <x v="7"/>
    <n v="8"/>
  </r>
  <r>
    <s v="TXN0218"/>
    <d v="2026-08-06T00:00:00"/>
    <n v="2026"/>
    <x v="0"/>
    <x v="3"/>
    <x v="0"/>
    <x v="7"/>
    <s v="Restaurant"/>
    <x v="5"/>
    <s v="Restoran Sederhana"/>
    <s v="Restaurant"/>
    <n v="1250500"/>
    <n v="1304400"/>
    <x v="1"/>
    <s v="Denpasar"/>
    <s v="Completed"/>
    <s v="Yes"/>
    <s v="No"/>
    <n v="-6718300"/>
    <x v="7"/>
    <n v="8"/>
  </r>
  <r>
    <s v="TXN0219"/>
    <d v="2026-08-07T00:00:00"/>
    <n v="2026"/>
    <x v="2"/>
    <x v="3"/>
    <x v="0"/>
    <x v="2"/>
    <s v="Petrol"/>
    <x v="1"/>
    <s v="Pertamina"/>
    <s v="Petrol"/>
    <n v="18100"/>
    <n v="207000"/>
    <x v="0"/>
    <s v="Palembang"/>
    <s v="Completed"/>
    <s v="No"/>
    <s v="No"/>
    <n v="-6736400"/>
    <x v="7"/>
    <n v="8"/>
  </r>
  <r>
    <s v="TXN0220"/>
    <d v="2026-08-08T00:00:00"/>
    <n v="2026"/>
    <x v="2"/>
    <x v="3"/>
    <x v="0"/>
    <x v="7"/>
    <s v="Restaurant"/>
    <x v="0"/>
    <s v="Apotek Kimia Farma"/>
    <s v="Restaurant"/>
    <n v="1425600"/>
    <n v="1000500"/>
    <x v="0"/>
    <s v="Denpasar"/>
    <s v="Completed"/>
    <s v="Yes"/>
    <s v="No"/>
    <n v="-8162000"/>
    <x v="7"/>
    <n v="8"/>
  </r>
  <r>
    <s v="TXN0221"/>
    <d v="2026-08-09T00:00:00"/>
    <n v="2026"/>
    <x v="0"/>
    <x v="4"/>
    <x v="0"/>
    <x v="2"/>
    <s v="Petrol"/>
    <x v="0"/>
    <s v="Restoran Sederhana"/>
    <s v="Petrol"/>
    <n v="1945200"/>
    <n v="989100"/>
    <x v="3"/>
    <s v="Surabaya"/>
    <s v="Completed"/>
    <s v="Yes"/>
    <s v="No"/>
    <n v="-10107200"/>
    <x v="7"/>
    <n v="8"/>
  </r>
  <r>
    <s v="TXN0222"/>
    <d v="2026-08-10T00:00:00"/>
    <n v="2026"/>
    <x v="2"/>
    <x v="2"/>
    <x v="0"/>
    <x v="7"/>
    <s v="Restaurant"/>
    <x v="2"/>
    <s v="Shopee"/>
    <s v="Restaurant"/>
    <n v="1567800"/>
    <n v="715300"/>
    <x v="2"/>
    <s v="Medan"/>
    <s v="Completed"/>
    <s v="No"/>
    <s v="No"/>
    <n v="-11675000"/>
    <x v="7"/>
    <n v="8"/>
  </r>
  <r>
    <s v="TXN0223"/>
    <d v="2026-08-11T00:00:00"/>
    <n v="2026"/>
    <x v="0"/>
    <x v="3"/>
    <x v="0"/>
    <x v="6"/>
    <s v="Broadband"/>
    <x v="5"/>
    <s v="Alfamart"/>
    <s v="Broadband"/>
    <n v="306500"/>
    <n v="1988000"/>
    <x v="3"/>
    <s v="Medan"/>
    <s v="Completed"/>
    <s v="No"/>
    <s v="No"/>
    <n v="-11981500"/>
    <x v="7"/>
    <n v="8"/>
  </r>
  <r>
    <s v="TXN0224"/>
    <d v="2026-08-12T00:00:00"/>
    <n v="2026"/>
    <x v="0"/>
    <x v="5"/>
    <x v="0"/>
    <x v="10"/>
    <s v="Bill"/>
    <x v="1"/>
    <s v="Telkomsel"/>
    <s v="Bill"/>
    <n v="1800200"/>
    <n v="629300"/>
    <x v="0"/>
    <s v="Surabaya"/>
    <s v="Completed"/>
    <s v="No"/>
    <s v="No"/>
    <n v="-13781700"/>
    <x v="7"/>
    <n v="8"/>
  </r>
  <r>
    <s v="TXN0225"/>
    <d v="2026-08-13T00:00:00"/>
    <n v="2026"/>
    <x v="1"/>
    <x v="2"/>
    <x v="0"/>
    <x v="5"/>
    <s v="Clothing"/>
    <x v="1"/>
    <s v="Bibit"/>
    <s v="Clothing"/>
    <n v="1402000"/>
    <n v="1688700"/>
    <x v="3"/>
    <s v="Makassar"/>
    <s v="Completed"/>
    <s v="Yes"/>
    <s v="No"/>
    <n v="-15183700"/>
    <x v="7"/>
    <n v="8"/>
  </r>
  <r>
    <s v="TXN0226"/>
    <d v="2026-08-14T00:00:00"/>
    <n v="2026"/>
    <x v="1"/>
    <x v="2"/>
    <x v="0"/>
    <x v="4"/>
    <s v="Pharmacy"/>
    <x v="0"/>
    <s v="Restoran Sederhana"/>
    <s v="Pharmacy"/>
    <n v="1965000"/>
    <n v="1720600"/>
    <x v="2"/>
    <s v="Jakarta"/>
    <s v="Completed"/>
    <s v="Yes"/>
    <s v="No"/>
    <n v="-17148700"/>
    <x v="7"/>
    <n v="8"/>
  </r>
  <r>
    <s v="TXN0227"/>
    <d v="2026-08-15T00:00:00"/>
    <n v="2026"/>
    <x v="1"/>
    <x v="2"/>
    <x v="0"/>
    <x v="4"/>
    <s v="Pharmacy"/>
    <x v="2"/>
    <s v="Apotek Kimia Farma"/>
    <s v="Pharmacy"/>
    <n v="312800"/>
    <n v="402200"/>
    <x v="1"/>
    <s v="Malang"/>
    <s v="Completed"/>
    <s v="No"/>
    <s v="No"/>
    <n v="-17461500"/>
    <x v="7"/>
    <n v="8"/>
  </r>
  <r>
    <s v="TXN0228"/>
    <d v="2026-08-16T00:00:00"/>
    <n v="2026"/>
    <x v="2"/>
    <x v="2"/>
    <x v="0"/>
    <x v="2"/>
    <s v="Petrol"/>
    <x v="5"/>
    <s v="Pertamina"/>
    <s v="Petrol"/>
    <n v="1254800"/>
    <n v="1838100"/>
    <x v="3"/>
    <s v="Palembang"/>
    <s v="Completed"/>
    <s v="No"/>
    <s v="No"/>
    <n v="-18716300"/>
    <x v="7"/>
    <n v="8"/>
  </r>
  <r>
    <s v="TXN0229"/>
    <d v="2026-08-17T00:00:00"/>
    <n v="2026"/>
    <x v="1"/>
    <x v="4"/>
    <x v="1"/>
    <x v="1"/>
    <s v="Interest"/>
    <x v="3"/>
    <s v="Pertamina"/>
    <s v="Interest"/>
    <n v="1578400"/>
    <n v="0"/>
    <x v="3"/>
    <s v="Medan"/>
    <s v="Completed"/>
    <s v="Yes"/>
    <s v="No"/>
    <n v="-17137900"/>
    <x v="7"/>
    <n v="8"/>
  </r>
  <r>
    <s v="TXN0230"/>
    <d v="2026-08-18T00:00:00"/>
    <n v="2026"/>
    <x v="2"/>
    <x v="2"/>
    <x v="0"/>
    <x v="4"/>
    <s v="Pharmacy"/>
    <x v="2"/>
    <s v="Pertamina"/>
    <s v="Pharmacy"/>
    <n v="979800"/>
    <n v="1040300"/>
    <x v="2"/>
    <s v="Malang"/>
    <s v="Completed"/>
    <s v="No"/>
    <s v="No"/>
    <n v="-18117700"/>
    <x v="7"/>
    <n v="8"/>
  </r>
  <r>
    <s v="TXN0231"/>
    <d v="2026-08-19T00:00:00"/>
    <n v="2026"/>
    <x v="0"/>
    <x v="3"/>
    <x v="0"/>
    <x v="6"/>
    <s v="Broadband"/>
    <x v="4"/>
    <s v="Bibit"/>
    <s v="Broadband"/>
    <n v="1280500"/>
    <n v="273100"/>
    <x v="1"/>
    <s v="Medan"/>
    <s v="Completed"/>
    <s v="Yes"/>
    <s v="No"/>
    <n v="-19398200"/>
    <x v="7"/>
    <n v="8"/>
  </r>
  <r>
    <s v="TXN0232"/>
    <d v="2026-08-20T00:00:00"/>
    <n v="2026"/>
    <x v="1"/>
    <x v="2"/>
    <x v="0"/>
    <x v="5"/>
    <s v="Clothing"/>
    <x v="0"/>
    <s v="Pertamina"/>
    <s v="Clothing"/>
    <n v="86800"/>
    <n v="1759000"/>
    <x v="3"/>
    <s v="Jakarta"/>
    <s v="Completed"/>
    <s v="No"/>
    <s v="No"/>
    <n v="-19485000"/>
    <x v="7"/>
    <n v="8"/>
  </r>
  <r>
    <s v="TXN0233"/>
    <d v="2026-08-21T00:00:00"/>
    <n v="2026"/>
    <x v="0"/>
    <x v="4"/>
    <x v="0"/>
    <x v="6"/>
    <s v="Broadband"/>
    <x v="5"/>
    <s v="Telkomsel"/>
    <s v="Broadband"/>
    <n v="107100"/>
    <n v="1642600"/>
    <x v="0"/>
    <s v="Surabaya"/>
    <s v="Completed"/>
    <s v="Yes"/>
    <s v="No"/>
    <n v="-19592100"/>
    <x v="7"/>
    <n v="8"/>
  </r>
  <r>
    <s v="TXN0234"/>
    <d v="2026-08-22T00:00:00"/>
    <n v="2026"/>
    <x v="2"/>
    <x v="1"/>
    <x v="0"/>
    <x v="6"/>
    <s v="Broadband"/>
    <x v="5"/>
    <s v="Shopee"/>
    <s v="Broadband"/>
    <n v="119900"/>
    <n v="652900"/>
    <x v="3"/>
    <s v="Jakarta"/>
    <s v="Completed"/>
    <s v="No"/>
    <s v="No"/>
    <n v="-19712000"/>
    <x v="7"/>
    <n v="8"/>
  </r>
  <r>
    <s v="TXN0235"/>
    <d v="2026-08-23T00:00:00"/>
    <n v="2026"/>
    <x v="0"/>
    <x v="4"/>
    <x v="0"/>
    <x v="11"/>
    <s v="Supermarket"/>
    <x v="4"/>
    <s v="Bibit"/>
    <s v="Supermarket"/>
    <n v="1321200"/>
    <n v="1373000"/>
    <x v="3"/>
    <s v="Medan"/>
    <s v="Completed"/>
    <s v="No"/>
    <s v="No"/>
    <n v="-21033200"/>
    <x v="7"/>
    <n v="8"/>
  </r>
  <r>
    <s v="TXN0236"/>
    <d v="2026-08-24T00:00:00"/>
    <n v="2026"/>
    <x v="0"/>
    <x v="1"/>
    <x v="0"/>
    <x v="7"/>
    <s v="Restaurant"/>
    <x v="4"/>
    <s v="Shopee"/>
    <s v="Restaurant"/>
    <n v="447500"/>
    <n v="1170600"/>
    <x v="1"/>
    <s v="Surabaya"/>
    <s v="Completed"/>
    <s v="No"/>
    <s v="No"/>
    <n v="-21480700"/>
    <x v="7"/>
    <n v="8"/>
  </r>
  <r>
    <s v="TXN0237"/>
    <d v="2026-08-25T00:00:00"/>
    <n v="2026"/>
    <x v="0"/>
    <x v="2"/>
    <x v="1"/>
    <x v="1"/>
    <s v="Interest"/>
    <x v="4"/>
    <s v="Shopee"/>
    <s v="Interest"/>
    <n v="6448000"/>
    <n v="0"/>
    <x v="3"/>
    <s v="Jakarta"/>
    <s v="Completed"/>
    <s v="Yes"/>
    <s v="No"/>
    <n v="-15032700"/>
    <x v="7"/>
    <n v="8"/>
  </r>
  <r>
    <s v="TXN0238"/>
    <d v="2026-08-26T00:00:00"/>
    <n v="2026"/>
    <x v="1"/>
    <x v="1"/>
    <x v="0"/>
    <x v="6"/>
    <s v="Broadband"/>
    <x v="5"/>
    <s v="Apotek Kimia Farma"/>
    <s v="Broadband"/>
    <n v="286700"/>
    <n v="1487900"/>
    <x v="2"/>
    <s v="Makassar"/>
    <s v="Completed"/>
    <s v="Yes"/>
    <s v="Yes"/>
    <n v="-15319400"/>
    <x v="7"/>
    <n v="8"/>
  </r>
  <r>
    <s v="TXN0239"/>
    <d v="2026-08-27T00:00:00"/>
    <n v="2026"/>
    <x v="2"/>
    <x v="4"/>
    <x v="0"/>
    <x v="5"/>
    <s v="Clothing"/>
    <x v="1"/>
    <s v="Restoran Sederhana"/>
    <s v="Clothing"/>
    <n v="94700"/>
    <n v="278400"/>
    <x v="2"/>
    <s v="Surabaya"/>
    <s v="Completed"/>
    <s v="No"/>
    <s v="Yes"/>
    <n v="-15414100"/>
    <x v="7"/>
    <n v="8"/>
  </r>
  <r>
    <s v="TXN0240"/>
    <d v="2026-08-28T00:00:00"/>
    <n v="2026"/>
    <x v="0"/>
    <x v="0"/>
    <x v="0"/>
    <x v="10"/>
    <s v="Bill"/>
    <x v="3"/>
    <s v="Restoran Sederhana"/>
    <s v="Bill"/>
    <n v="1858700"/>
    <n v="567200"/>
    <x v="1"/>
    <s v="Palembang"/>
    <s v="Completed"/>
    <s v="Yes"/>
    <s v="No"/>
    <n v="-17272800"/>
    <x v="7"/>
    <n v="8"/>
  </r>
  <r>
    <s v="TXN0242"/>
    <d v="2026-08-30T00:00:00"/>
    <n v="2026"/>
    <x v="2"/>
    <x v="5"/>
    <x v="1"/>
    <x v="1"/>
    <s v="Interest"/>
    <x v="2"/>
    <s v="Restoran Sederhana"/>
    <s v="Interest"/>
    <n v="508000"/>
    <n v="0"/>
    <x v="2"/>
    <s v="Medan"/>
    <s v="Completed"/>
    <s v="No"/>
    <s v="No"/>
    <n v="-16764800"/>
    <x v="7"/>
    <n v="8"/>
  </r>
  <r>
    <s v="TXN0243"/>
    <d v="2026-08-31T00:00:00"/>
    <n v="2026"/>
    <x v="0"/>
    <x v="4"/>
    <x v="0"/>
    <x v="2"/>
    <s v="Petrol"/>
    <x v="3"/>
    <s v="Apotek Kimia Farma"/>
    <s v="Petrol"/>
    <n v="1288200"/>
    <n v="494500"/>
    <x v="2"/>
    <s v="Semarang"/>
    <s v="Completed"/>
    <s v="No"/>
    <s v="No"/>
    <n v="-18053000"/>
    <x v="7"/>
    <n v="8"/>
  </r>
  <r>
    <s v="TXN0244"/>
    <d v="2026-09-01T00:00:00"/>
    <n v="2026"/>
    <x v="1"/>
    <x v="4"/>
    <x v="0"/>
    <x v="6"/>
    <s v="Broadband"/>
    <x v="4"/>
    <s v="Restoran Sederhana"/>
    <s v="Broadband"/>
    <n v="1110200"/>
    <n v="1623500"/>
    <x v="0"/>
    <s v="Denpasar"/>
    <s v="Completed"/>
    <s v="No"/>
    <s v="No"/>
    <n v="-19163200"/>
    <x v="8"/>
    <n v="9"/>
  </r>
  <r>
    <s v="TXN0245"/>
    <d v="2026-09-02T00:00:00"/>
    <n v="2026"/>
    <x v="0"/>
    <x v="4"/>
    <x v="1"/>
    <x v="3"/>
    <s v="Bonus"/>
    <x v="5"/>
    <s v="Pertamina"/>
    <s v="Bonus"/>
    <n v="915200"/>
    <n v="0"/>
    <x v="2"/>
    <s v="Medan"/>
    <s v="Completed"/>
    <s v="No"/>
    <s v="Yes"/>
    <n v="-18248000"/>
    <x v="8"/>
    <n v="9"/>
  </r>
  <r>
    <s v="TXN0246"/>
    <d v="2026-09-03T00:00:00"/>
    <n v="2026"/>
    <x v="1"/>
    <x v="5"/>
    <x v="0"/>
    <x v="4"/>
    <s v="Pharmacy"/>
    <x v="4"/>
    <s v="Apotek Kimia Farma"/>
    <s v="Pharmacy"/>
    <n v="1777200"/>
    <n v="1491600"/>
    <x v="0"/>
    <s v="Palembang"/>
    <s v="Completed"/>
    <s v="No"/>
    <s v="No"/>
    <n v="-20025200"/>
    <x v="8"/>
    <n v="9"/>
  </r>
  <r>
    <s v="TXN0247"/>
    <d v="2026-09-04T00:00:00"/>
    <n v="2026"/>
    <x v="2"/>
    <x v="1"/>
    <x v="0"/>
    <x v="4"/>
    <s v="Pharmacy"/>
    <x v="3"/>
    <s v="Bibit"/>
    <s v="Pharmacy"/>
    <n v="1669000"/>
    <n v="615300"/>
    <x v="0"/>
    <s v="Bandung"/>
    <s v="Completed"/>
    <s v="No"/>
    <s v="No"/>
    <n v="-21694200"/>
    <x v="8"/>
    <n v="9"/>
  </r>
  <r>
    <s v="TXN0248"/>
    <d v="2026-09-05T00:00:00"/>
    <n v="2026"/>
    <x v="2"/>
    <x v="5"/>
    <x v="1"/>
    <x v="9"/>
    <s v="Monthly Salary"/>
    <x v="3"/>
    <s v="Shopee"/>
    <s v="Monthly Salary"/>
    <n v="7692400"/>
    <n v="0"/>
    <x v="2"/>
    <s v="Malang"/>
    <s v="Completed"/>
    <s v="No"/>
    <s v="No"/>
    <n v="-14001800"/>
    <x v="8"/>
    <n v="9"/>
  </r>
  <r>
    <s v="TXN0249"/>
    <d v="2026-09-06T00:00:00"/>
    <n v="2026"/>
    <x v="1"/>
    <x v="4"/>
    <x v="0"/>
    <x v="11"/>
    <s v="Supermarket"/>
    <x v="2"/>
    <s v="Alfamart"/>
    <s v="Supermarket"/>
    <n v="1364000"/>
    <n v="1335100"/>
    <x v="3"/>
    <s v="Malang"/>
    <s v="Completed"/>
    <s v="Yes"/>
    <s v="No"/>
    <n v="-15365800"/>
    <x v="8"/>
    <n v="9"/>
  </r>
  <r>
    <s v="TXN0250"/>
    <d v="2026-09-07T00:00:00"/>
    <n v="2026"/>
    <x v="2"/>
    <x v="0"/>
    <x v="1"/>
    <x v="3"/>
    <s v="Bonus"/>
    <x v="3"/>
    <s v="Shopee"/>
    <s v="Bonus"/>
    <n v="274100"/>
    <n v="0"/>
    <x v="0"/>
    <s v="Denpasar"/>
    <s v="Completed"/>
    <s v="No"/>
    <s v="No"/>
    <n v="-15091700"/>
    <x v="8"/>
    <n v="9"/>
  </r>
  <r>
    <s v="TXN0251"/>
    <d v="2026-09-08T00:00:00"/>
    <n v="2026"/>
    <x v="0"/>
    <x v="5"/>
    <x v="0"/>
    <x v="10"/>
    <s v="Bill"/>
    <x v="0"/>
    <s v="Alfamart"/>
    <s v="Bill"/>
    <n v="182700"/>
    <n v="1956700"/>
    <x v="3"/>
    <s v="Medan"/>
    <s v="Completed"/>
    <s v="No"/>
    <s v="No"/>
    <n v="-15274400"/>
    <x v="8"/>
    <n v="9"/>
  </r>
  <r>
    <s v="TXN0252"/>
    <d v="2026-09-09T00:00:00"/>
    <n v="2026"/>
    <x v="1"/>
    <x v="4"/>
    <x v="0"/>
    <x v="7"/>
    <s v="Restaurant"/>
    <x v="2"/>
    <s v="Telkomsel"/>
    <s v="Restaurant"/>
    <n v="296300"/>
    <n v="1789300"/>
    <x v="2"/>
    <s v="Denpasar"/>
    <s v="Completed"/>
    <s v="No"/>
    <s v="Yes"/>
    <n v="-15570700"/>
    <x v="8"/>
    <n v="9"/>
  </r>
  <r>
    <s v="TXN0253"/>
    <d v="2026-09-10T00:00:00"/>
    <n v="2026"/>
    <x v="2"/>
    <x v="4"/>
    <x v="0"/>
    <x v="7"/>
    <s v="Restaurant"/>
    <x v="5"/>
    <s v="Shopee"/>
    <s v="Restaurant"/>
    <n v="473000"/>
    <n v="694600"/>
    <x v="3"/>
    <s v="Yogyakarta"/>
    <s v="Completed"/>
    <s v="Yes"/>
    <s v="No"/>
    <n v="-16043700"/>
    <x v="8"/>
    <n v="9"/>
  </r>
  <r>
    <s v="TXN0254"/>
    <d v="2026-09-11T00:00:00"/>
    <n v="2026"/>
    <x v="1"/>
    <x v="1"/>
    <x v="0"/>
    <x v="4"/>
    <s v="Pharmacy"/>
    <x v="1"/>
    <s v="PT Sejahtera Makmur"/>
    <s v="Pharmacy"/>
    <n v="963600"/>
    <n v="1979600"/>
    <x v="2"/>
    <s v="Medan"/>
    <s v="Completed"/>
    <s v="No"/>
    <s v="No"/>
    <n v="-17007300"/>
    <x v="8"/>
    <n v="9"/>
  </r>
  <r>
    <s v="TXN0255"/>
    <d v="2026-09-12T00:00:00"/>
    <n v="2026"/>
    <x v="0"/>
    <x v="5"/>
    <x v="0"/>
    <x v="6"/>
    <s v="Broadband"/>
    <x v="4"/>
    <s v="Telkomsel"/>
    <s v="Broadband"/>
    <n v="1411800"/>
    <n v="1154400"/>
    <x v="1"/>
    <s v="Surabaya"/>
    <s v="Completed"/>
    <s v="Yes"/>
    <s v="Yes"/>
    <n v="-18419100"/>
    <x v="8"/>
    <n v="9"/>
  </r>
  <r>
    <s v="TXN0256"/>
    <d v="2026-09-13T00:00:00"/>
    <n v="2026"/>
    <x v="1"/>
    <x v="2"/>
    <x v="0"/>
    <x v="11"/>
    <s v="Supermarket"/>
    <x v="4"/>
    <s v="Telkomsel"/>
    <s v="Supermarket"/>
    <n v="1974500"/>
    <n v="946200"/>
    <x v="2"/>
    <s v="Surabaya"/>
    <s v="Completed"/>
    <s v="No"/>
    <s v="Yes"/>
    <n v="-20393600"/>
    <x v="8"/>
    <n v="9"/>
  </r>
  <r>
    <s v="TXN0257"/>
    <d v="2026-09-14T00:00:00"/>
    <n v="2026"/>
    <x v="0"/>
    <x v="1"/>
    <x v="0"/>
    <x v="10"/>
    <s v="Bill"/>
    <x v="0"/>
    <s v="Pertamina"/>
    <s v="Bill"/>
    <n v="73800"/>
    <n v="1372800"/>
    <x v="3"/>
    <s v="Yogyakarta"/>
    <s v="Completed"/>
    <s v="Yes"/>
    <s v="No"/>
    <n v="-20467400"/>
    <x v="8"/>
    <n v="9"/>
  </r>
  <r>
    <s v="TXN0258"/>
    <d v="2026-09-15T00:00:00"/>
    <n v="2026"/>
    <x v="0"/>
    <x v="3"/>
    <x v="0"/>
    <x v="11"/>
    <s v="Supermarket"/>
    <x v="1"/>
    <s v="Telkomsel"/>
    <s v="Supermarket"/>
    <n v="139300"/>
    <n v="334400"/>
    <x v="3"/>
    <s v="Makassar"/>
    <s v="Completed"/>
    <s v="No"/>
    <s v="Yes"/>
    <n v="-20606700"/>
    <x v="8"/>
    <n v="9"/>
  </r>
  <r>
    <s v="TXN0259"/>
    <d v="2026-09-16T00:00:00"/>
    <n v="2026"/>
    <x v="2"/>
    <x v="0"/>
    <x v="1"/>
    <x v="8"/>
    <s v="Project"/>
    <x v="1"/>
    <s v="Apotek Kimia Farma"/>
    <s v="Project"/>
    <n v="3763500"/>
    <n v="0"/>
    <x v="1"/>
    <s v="Yogyakarta"/>
    <s v="Completed"/>
    <s v="No"/>
    <s v="Yes"/>
    <n v="-16843200"/>
    <x v="8"/>
    <n v="9"/>
  </r>
  <r>
    <s v="TXN0260"/>
    <d v="2026-09-17T00:00:00"/>
    <n v="2026"/>
    <x v="0"/>
    <x v="0"/>
    <x v="0"/>
    <x v="11"/>
    <s v="Supermarket"/>
    <x v="4"/>
    <s v="Shopee"/>
    <s v="Supermarket"/>
    <n v="1212500"/>
    <n v="1670300"/>
    <x v="3"/>
    <s v="Yogyakarta"/>
    <s v="Completed"/>
    <s v="Yes"/>
    <s v="No"/>
    <n v="-18055700"/>
    <x v="8"/>
    <n v="9"/>
  </r>
  <r>
    <s v="TXN0261"/>
    <d v="2026-09-18T00:00:00"/>
    <n v="2026"/>
    <x v="0"/>
    <x v="5"/>
    <x v="0"/>
    <x v="10"/>
    <s v="Bill"/>
    <x v="0"/>
    <s v="Tokopedia"/>
    <s v="Bill"/>
    <n v="1805200"/>
    <n v="832900"/>
    <x v="3"/>
    <s v="Denpasar"/>
    <s v="Completed"/>
    <s v="No"/>
    <s v="Yes"/>
    <n v="-19860900"/>
    <x v="8"/>
    <n v="9"/>
  </r>
  <r>
    <s v="TXN0262"/>
    <d v="2026-09-19T00:00:00"/>
    <n v="2026"/>
    <x v="1"/>
    <x v="0"/>
    <x v="0"/>
    <x v="10"/>
    <s v="Bill"/>
    <x v="5"/>
    <s v="Bibit"/>
    <s v="Bill"/>
    <n v="521600"/>
    <n v="221000"/>
    <x v="0"/>
    <s v="Jakarta"/>
    <s v="Completed"/>
    <s v="No"/>
    <s v="No"/>
    <n v="-20382500"/>
    <x v="8"/>
    <n v="9"/>
  </r>
  <r>
    <s v="TXN0263"/>
    <d v="2026-09-20T00:00:00"/>
    <n v="2026"/>
    <x v="0"/>
    <x v="2"/>
    <x v="0"/>
    <x v="5"/>
    <s v="Clothing"/>
    <x v="4"/>
    <s v="Restoran Sederhana"/>
    <s v="Clothing"/>
    <n v="1194400"/>
    <n v="115100"/>
    <x v="2"/>
    <s v="Surabaya"/>
    <s v="Completed"/>
    <s v="No"/>
    <s v="Yes"/>
    <n v="-21576900"/>
    <x v="8"/>
    <n v="9"/>
  </r>
  <r>
    <s v="TXN0264"/>
    <d v="2026-09-21T00:00:00"/>
    <n v="2026"/>
    <x v="0"/>
    <x v="4"/>
    <x v="0"/>
    <x v="4"/>
    <s v="Pharmacy"/>
    <x v="0"/>
    <s v="Apotek Kimia Farma"/>
    <s v="Pharmacy"/>
    <n v="1478200"/>
    <n v="301900"/>
    <x v="1"/>
    <s v="Jakarta"/>
    <s v="Completed"/>
    <s v="No"/>
    <s v="No"/>
    <n v="-23055100"/>
    <x v="8"/>
    <n v="9"/>
  </r>
  <r>
    <s v="TXN0265"/>
    <d v="2026-09-22T00:00:00"/>
    <n v="2026"/>
    <x v="2"/>
    <x v="4"/>
    <x v="0"/>
    <x v="6"/>
    <s v="Broadband"/>
    <x v="2"/>
    <s v="Telkomsel"/>
    <s v="Broadband"/>
    <n v="1540500"/>
    <n v="932500"/>
    <x v="0"/>
    <s v="Yogyakarta"/>
    <s v="Completed"/>
    <s v="No"/>
    <s v="Yes"/>
    <n v="-24595600"/>
    <x v="8"/>
    <n v="9"/>
  </r>
  <r>
    <s v="TXN0267"/>
    <d v="2026-09-24T00:00:00"/>
    <n v="2026"/>
    <x v="0"/>
    <x v="2"/>
    <x v="0"/>
    <x v="11"/>
    <s v="Supermarket"/>
    <x v="3"/>
    <s v="Alfamart"/>
    <s v="Supermarket"/>
    <n v="1972600"/>
    <n v="610300"/>
    <x v="3"/>
    <s v="Makassar"/>
    <s v="Completed"/>
    <s v="No"/>
    <s v="No"/>
    <n v="-26568200"/>
    <x v="8"/>
    <n v="9"/>
  </r>
  <r>
    <s v="TXN0268"/>
    <d v="2026-09-25T00:00:00"/>
    <n v="2026"/>
    <x v="2"/>
    <x v="2"/>
    <x v="0"/>
    <x v="11"/>
    <s v="Supermarket"/>
    <x v="0"/>
    <s v="Shopee"/>
    <s v="Supermarket"/>
    <n v="728200"/>
    <n v="1634500"/>
    <x v="3"/>
    <s v="Surabaya"/>
    <s v="Completed"/>
    <s v="No"/>
    <s v="No"/>
    <n v="-27296400"/>
    <x v="8"/>
    <n v="9"/>
  </r>
  <r>
    <s v="TXN0269"/>
    <d v="2026-09-26T00:00:00"/>
    <n v="2026"/>
    <x v="0"/>
    <x v="2"/>
    <x v="1"/>
    <x v="3"/>
    <s v="Bonus"/>
    <x v="4"/>
    <s v="Bibit"/>
    <s v="Bonus"/>
    <n v="338700"/>
    <n v="0"/>
    <x v="2"/>
    <s v="Medan"/>
    <s v="Completed"/>
    <s v="Yes"/>
    <s v="No"/>
    <n v="-26957700"/>
    <x v="8"/>
    <n v="9"/>
  </r>
  <r>
    <s v="TXN0270"/>
    <d v="2026-09-27T00:00:00"/>
    <n v="2026"/>
    <x v="2"/>
    <x v="2"/>
    <x v="0"/>
    <x v="7"/>
    <s v="Restaurant"/>
    <x v="0"/>
    <s v="Pertamina"/>
    <s v="Restaurant"/>
    <n v="496900"/>
    <n v="241800"/>
    <x v="3"/>
    <s v="Medan"/>
    <s v="Completed"/>
    <s v="No"/>
    <s v="No"/>
    <n v="-27454600"/>
    <x v="8"/>
    <n v="9"/>
  </r>
  <r>
    <s v="TXN0271"/>
    <d v="2026-09-28T00:00:00"/>
    <n v="2026"/>
    <x v="2"/>
    <x v="0"/>
    <x v="0"/>
    <x v="6"/>
    <s v="Broadband"/>
    <x v="5"/>
    <s v="PT Sejahtera Makmur"/>
    <s v="Broadband"/>
    <n v="1420300"/>
    <n v="420000"/>
    <x v="0"/>
    <s v="Medan"/>
    <s v="Completed"/>
    <s v="No"/>
    <s v="No"/>
    <n v="-28874900"/>
    <x v="8"/>
    <n v="9"/>
  </r>
  <r>
    <s v="TXN0272"/>
    <d v="2026-09-29T00:00:00"/>
    <n v="2026"/>
    <x v="1"/>
    <x v="4"/>
    <x v="0"/>
    <x v="6"/>
    <s v="Broadband"/>
    <x v="4"/>
    <s v="Bibit"/>
    <s v="Broadband"/>
    <n v="1593100"/>
    <n v="815500"/>
    <x v="1"/>
    <s v="Palembang"/>
    <s v="Completed"/>
    <s v="No"/>
    <s v="Yes"/>
    <n v="-30468000"/>
    <x v="8"/>
    <n v="9"/>
  </r>
  <r>
    <s v="TXN0273"/>
    <d v="2026-09-30T00:00:00"/>
    <n v="2026"/>
    <x v="2"/>
    <x v="1"/>
    <x v="0"/>
    <x v="11"/>
    <s v="Supermarket"/>
    <x v="5"/>
    <s v="Pertamina"/>
    <s v="Supermarket"/>
    <n v="926600"/>
    <n v="1267900"/>
    <x v="0"/>
    <s v="Denpasar"/>
    <s v="Completed"/>
    <s v="No"/>
    <s v="No"/>
    <n v="-31394600"/>
    <x v="8"/>
    <n v="9"/>
  </r>
  <r>
    <s v="TXN0274"/>
    <d v="2026-10-01T00:00:00"/>
    <n v="2026"/>
    <x v="0"/>
    <x v="4"/>
    <x v="0"/>
    <x v="10"/>
    <s v="Bill"/>
    <x v="4"/>
    <s v="Restoran Sederhana"/>
    <s v="Bill"/>
    <n v="895600"/>
    <n v="1375100"/>
    <x v="3"/>
    <s v="Bandung"/>
    <s v="Completed"/>
    <s v="No"/>
    <s v="Yes"/>
    <n v="-32290200"/>
    <x v="9"/>
    <n v="10"/>
  </r>
  <r>
    <s v="TXN0275"/>
    <d v="2026-10-02T00:00:00"/>
    <n v="2026"/>
    <x v="0"/>
    <x v="3"/>
    <x v="0"/>
    <x v="6"/>
    <s v="Broadband"/>
    <x v="4"/>
    <s v="Restoran Sederhana"/>
    <s v="Broadband"/>
    <n v="1662000"/>
    <n v="1689100"/>
    <x v="2"/>
    <s v="Yogyakarta"/>
    <s v="Completed"/>
    <s v="No"/>
    <s v="No"/>
    <n v="-33952200"/>
    <x v="9"/>
    <n v="10"/>
  </r>
  <r>
    <s v="TXN0276"/>
    <d v="2026-10-03T00:00:00"/>
    <n v="2026"/>
    <x v="1"/>
    <x v="0"/>
    <x v="0"/>
    <x v="6"/>
    <s v="Broadband"/>
    <x v="1"/>
    <s v="PT Sejahtera Makmur"/>
    <s v="Broadband"/>
    <n v="150000"/>
    <n v="1212200"/>
    <x v="0"/>
    <s v="Bandung"/>
    <s v="Completed"/>
    <s v="No"/>
    <s v="No"/>
    <n v="-34102200"/>
    <x v="9"/>
    <n v="10"/>
  </r>
  <r>
    <s v="TXN0277"/>
    <d v="2026-10-04T00:00:00"/>
    <n v="2026"/>
    <x v="0"/>
    <x v="3"/>
    <x v="0"/>
    <x v="10"/>
    <s v="Bill"/>
    <x v="4"/>
    <s v="Pertamina"/>
    <s v="Bill"/>
    <n v="1862600"/>
    <n v="1455300"/>
    <x v="0"/>
    <s v="Semarang"/>
    <s v="Completed"/>
    <s v="Yes"/>
    <s v="Yes"/>
    <n v="-35964800"/>
    <x v="9"/>
    <n v="10"/>
  </r>
  <r>
    <s v="TXN0278"/>
    <d v="2026-10-05T00:00:00"/>
    <n v="2026"/>
    <x v="1"/>
    <x v="0"/>
    <x v="0"/>
    <x v="0"/>
    <s v="House Rent"/>
    <x v="1"/>
    <s v="PT Sejahtera Makmur"/>
    <s v="House Rent"/>
    <n v="1224500"/>
    <n v="221900"/>
    <x v="2"/>
    <s v="Denpasar"/>
    <s v="Completed"/>
    <s v="Yes"/>
    <s v="Yes"/>
    <n v="-37189300"/>
    <x v="9"/>
    <n v="10"/>
  </r>
  <r>
    <s v="TXN0279"/>
    <d v="2026-10-06T00:00:00"/>
    <n v="2026"/>
    <x v="2"/>
    <x v="2"/>
    <x v="0"/>
    <x v="11"/>
    <s v="Supermarket"/>
    <x v="1"/>
    <s v="Pertamina"/>
    <s v="Supermarket"/>
    <n v="1299700"/>
    <n v="1380200"/>
    <x v="3"/>
    <s v="Medan"/>
    <s v="Completed"/>
    <s v="Yes"/>
    <s v="No"/>
    <n v="-38489000"/>
    <x v="9"/>
    <n v="10"/>
  </r>
  <r>
    <s v="TXN0281"/>
    <d v="2026-10-08T00:00:00"/>
    <n v="2026"/>
    <x v="1"/>
    <x v="3"/>
    <x v="0"/>
    <x v="2"/>
    <s v="Petrol"/>
    <x v="3"/>
    <s v="PT Sejahtera Makmur"/>
    <s v="Petrol"/>
    <n v="723600"/>
    <n v="1384100"/>
    <x v="2"/>
    <s v="Surabaya"/>
    <s v="Completed"/>
    <s v="Yes"/>
    <s v="No"/>
    <n v="-39212600"/>
    <x v="9"/>
    <n v="10"/>
  </r>
  <r>
    <s v="TXN0282"/>
    <d v="2026-10-09T00:00:00"/>
    <n v="2026"/>
    <x v="0"/>
    <x v="1"/>
    <x v="1"/>
    <x v="3"/>
    <s v="Bonus"/>
    <x v="1"/>
    <s v="Shopee"/>
    <s v="Bonus"/>
    <n v="846800"/>
    <n v="0"/>
    <x v="2"/>
    <s v="Denpasar"/>
    <s v="Completed"/>
    <s v="No"/>
    <s v="Yes"/>
    <n v="-38365800"/>
    <x v="9"/>
    <n v="10"/>
  </r>
  <r>
    <s v="TXN0283"/>
    <d v="2026-10-10T00:00:00"/>
    <n v="2026"/>
    <x v="0"/>
    <x v="5"/>
    <x v="1"/>
    <x v="8"/>
    <s v="Project"/>
    <x v="4"/>
    <s v="Telkomsel"/>
    <s v="Project"/>
    <n v="3494900"/>
    <n v="0"/>
    <x v="1"/>
    <s v="Palembang"/>
    <s v="Completed"/>
    <s v="No"/>
    <s v="No"/>
    <n v="-34870900"/>
    <x v="9"/>
    <n v="10"/>
  </r>
  <r>
    <s v="TXN0284"/>
    <d v="2026-10-11T00:00:00"/>
    <n v="2026"/>
    <x v="0"/>
    <x v="4"/>
    <x v="1"/>
    <x v="1"/>
    <s v="Interest"/>
    <x v="3"/>
    <s v="Bibit"/>
    <s v="Interest"/>
    <n v="7444800"/>
    <n v="0"/>
    <x v="2"/>
    <s v="Surabaya"/>
    <s v="Completed"/>
    <s v="Yes"/>
    <s v="Yes"/>
    <n v="-27426100"/>
    <x v="9"/>
    <n v="10"/>
  </r>
  <r>
    <s v="TXN0285"/>
    <d v="2026-10-12T00:00:00"/>
    <n v="2026"/>
    <x v="1"/>
    <x v="1"/>
    <x v="0"/>
    <x v="0"/>
    <s v="House Rent"/>
    <x v="3"/>
    <s v="Apotek Kimia Farma"/>
    <s v="House Rent"/>
    <n v="365000"/>
    <n v="1234500"/>
    <x v="2"/>
    <s v="Jakarta"/>
    <s v="Completed"/>
    <s v="No"/>
    <s v="No"/>
    <n v="-27791100"/>
    <x v="9"/>
    <n v="10"/>
  </r>
  <r>
    <s v="TXN0286"/>
    <d v="2026-10-13T00:00:00"/>
    <n v="2026"/>
    <x v="1"/>
    <x v="5"/>
    <x v="1"/>
    <x v="3"/>
    <s v="Bonus"/>
    <x v="3"/>
    <s v="Tokopedia"/>
    <s v="Bonus"/>
    <n v="4991900"/>
    <n v="0"/>
    <x v="0"/>
    <s v="Palembang"/>
    <s v="Completed"/>
    <s v="No"/>
    <s v="No"/>
    <n v="-22799200"/>
    <x v="9"/>
    <n v="10"/>
  </r>
  <r>
    <s v="TXN0287"/>
    <d v="2026-10-14T00:00:00"/>
    <n v="2026"/>
    <x v="0"/>
    <x v="0"/>
    <x v="1"/>
    <x v="8"/>
    <s v="Project"/>
    <x v="2"/>
    <s v="Shopee"/>
    <s v="Project"/>
    <n v="5730400"/>
    <n v="0"/>
    <x v="3"/>
    <s v="Jakarta"/>
    <s v="Completed"/>
    <s v="No"/>
    <s v="No"/>
    <n v="-17068800"/>
    <x v="9"/>
    <n v="10"/>
  </r>
  <r>
    <s v="TXN0291"/>
    <d v="2026-10-18T00:00:00"/>
    <n v="2026"/>
    <x v="2"/>
    <x v="1"/>
    <x v="1"/>
    <x v="3"/>
    <s v="Bonus"/>
    <x v="3"/>
    <s v="Bibit"/>
    <s v="Bonus"/>
    <n v="6471400"/>
    <n v="0"/>
    <x v="3"/>
    <s v="Surabaya"/>
    <s v="Completed"/>
    <s v="Yes"/>
    <s v="No"/>
    <n v="-10597400"/>
    <x v="9"/>
    <n v="10"/>
  </r>
  <r>
    <s v="TXN0292"/>
    <d v="2026-10-19T00:00:00"/>
    <n v="2026"/>
    <x v="1"/>
    <x v="3"/>
    <x v="0"/>
    <x v="4"/>
    <s v="Pharmacy"/>
    <x v="1"/>
    <s v="Telkomsel"/>
    <s v="Pharmacy"/>
    <n v="1317200"/>
    <n v="323900"/>
    <x v="0"/>
    <s v="Medan"/>
    <s v="Completed"/>
    <s v="No"/>
    <s v="No"/>
    <n v="-11914600"/>
    <x v="9"/>
    <n v="10"/>
  </r>
  <r>
    <s v="TXN0293"/>
    <d v="2026-10-20T00:00:00"/>
    <n v="2026"/>
    <x v="0"/>
    <x v="5"/>
    <x v="0"/>
    <x v="5"/>
    <s v="Clothing"/>
    <x v="4"/>
    <s v="Tokopedia"/>
    <s v="Clothing"/>
    <n v="55500"/>
    <n v="163200"/>
    <x v="0"/>
    <s v="Bandung"/>
    <s v="Completed"/>
    <s v="Yes"/>
    <s v="No"/>
    <n v="-11970100"/>
    <x v="9"/>
    <n v="10"/>
  </r>
  <r>
    <s v="TXN0294"/>
    <d v="2026-10-21T00:00:00"/>
    <n v="2026"/>
    <x v="2"/>
    <x v="4"/>
    <x v="1"/>
    <x v="8"/>
    <s v="Project"/>
    <x v="3"/>
    <s v="Restoran Sederhana"/>
    <s v="Project"/>
    <n v="2723600"/>
    <n v="0"/>
    <x v="2"/>
    <s v="Yogyakarta"/>
    <s v="Completed"/>
    <s v="Yes"/>
    <s v="Yes"/>
    <n v="-9246500"/>
    <x v="9"/>
    <n v="10"/>
  </r>
  <r>
    <s v="TXN0295"/>
    <d v="2026-10-22T00:00:00"/>
    <n v="2026"/>
    <x v="1"/>
    <x v="5"/>
    <x v="0"/>
    <x v="11"/>
    <s v="Supermarket"/>
    <x v="0"/>
    <s v="Pertamina"/>
    <s v="Supermarket"/>
    <n v="1243100"/>
    <n v="1032700"/>
    <x v="0"/>
    <s v="Denpasar"/>
    <s v="Completed"/>
    <s v="Yes"/>
    <s v="No"/>
    <n v="-10489600"/>
    <x v="9"/>
    <n v="10"/>
  </r>
  <r>
    <s v="TXN0296"/>
    <d v="2026-10-23T00:00:00"/>
    <n v="2026"/>
    <x v="2"/>
    <x v="0"/>
    <x v="0"/>
    <x v="5"/>
    <s v="Clothing"/>
    <x v="1"/>
    <s v="Restoran Sederhana"/>
    <s v="Clothing"/>
    <n v="123000"/>
    <n v="1323300"/>
    <x v="1"/>
    <s v="Denpasar"/>
    <s v="Completed"/>
    <s v="No"/>
    <s v="No"/>
    <n v="-10612600"/>
    <x v="9"/>
    <n v="10"/>
  </r>
  <r>
    <s v="TXN0297"/>
    <d v="2026-10-24T00:00:00"/>
    <n v="2026"/>
    <x v="2"/>
    <x v="3"/>
    <x v="0"/>
    <x v="7"/>
    <s v="Restaurant"/>
    <x v="2"/>
    <s v="Pertamina"/>
    <s v="Restaurant"/>
    <n v="988900"/>
    <n v="828100"/>
    <x v="0"/>
    <s v="Medan"/>
    <s v="Completed"/>
    <s v="Yes"/>
    <s v="Yes"/>
    <n v="-11601500"/>
    <x v="9"/>
    <n v="10"/>
  </r>
  <r>
    <s v="TXN0298"/>
    <d v="2026-10-25T00:00:00"/>
    <n v="2026"/>
    <x v="2"/>
    <x v="4"/>
    <x v="0"/>
    <x v="10"/>
    <s v="Bill"/>
    <x v="3"/>
    <s v="Pertamina"/>
    <s v="Bill"/>
    <n v="906600"/>
    <n v="958600"/>
    <x v="2"/>
    <s v="Yogyakarta"/>
    <s v="Completed"/>
    <s v="No"/>
    <s v="No"/>
    <n v="-12508100"/>
    <x v="9"/>
    <n v="10"/>
  </r>
  <r>
    <s v="TXN0299"/>
    <d v="2026-10-26T00:00:00"/>
    <n v="2026"/>
    <x v="2"/>
    <x v="3"/>
    <x v="1"/>
    <x v="8"/>
    <s v="Project"/>
    <x v="3"/>
    <s v="Shopee"/>
    <s v="Project"/>
    <n v="3585800"/>
    <n v="0"/>
    <x v="1"/>
    <s v="Jakarta"/>
    <s v="Completed"/>
    <s v="No"/>
    <s v="No"/>
    <n v="-8922300"/>
    <x v="9"/>
    <n v="10"/>
  </r>
  <r>
    <s v="TXN0300"/>
    <d v="2026-10-27T00:00:00"/>
    <n v="2026"/>
    <x v="0"/>
    <x v="0"/>
    <x v="0"/>
    <x v="0"/>
    <s v="House Rent"/>
    <x v="3"/>
    <s v="Tokopedia"/>
    <s v="House Rent"/>
    <n v="1526200"/>
    <n v="1333700"/>
    <x v="2"/>
    <s v="Bandung"/>
    <s v="Completed"/>
    <s v="No"/>
    <s v="No"/>
    <n v="-10448500"/>
    <x v="9"/>
    <n v="10"/>
  </r>
  <r>
    <s v="TXN0301"/>
    <d v="2026-10-28T00:00:00"/>
    <n v="2026"/>
    <x v="0"/>
    <x v="5"/>
    <x v="0"/>
    <x v="10"/>
    <s v="Bill"/>
    <x v="1"/>
    <s v="Pertamina"/>
    <s v="Bill"/>
    <n v="110200"/>
    <n v="1509400"/>
    <x v="3"/>
    <s v="Yogyakarta"/>
    <s v="Completed"/>
    <s v="Yes"/>
    <s v="No"/>
    <n v="-10558700"/>
    <x v="9"/>
    <n v="10"/>
  </r>
  <r>
    <s v="TXN0302"/>
    <d v="2026-10-29T00:00:00"/>
    <n v="2026"/>
    <x v="1"/>
    <x v="0"/>
    <x v="0"/>
    <x v="10"/>
    <s v="Bill"/>
    <x v="2"/>
    <s v="Restoran Sederhana"/>
    <s v="Bill"/>
    <n v="12200"/>
    <n v="448800"/>
    <x v="2"/>
    <s v="Jakarta"/>
    <s v="Completed"/>
    <s v="No"/>
    <s v="Yes"/>
    <n v="-10570900"/>
    <x v="9"/>
    <n v="10"/>
  </r>
  <r>
    <s v="TXN0303"/>
    <d v="2026-10-30T00:00:00"/>
    <n v="2026"/>
    <x v="2"/>
    <x v="1"/>
    <x v="0"/>
    <x v="0"/>
    <s v="House Rent"/>
    <x v="0"/>
    <s v="Restoran Sederhana"/>
    <s v="House Rent"/>
    <n v="1927400"/>
    <n v="1663100"/>
    <x v="3"/>
    <s v="Yogyakarta"/>
    <s v="Completed"/>
    <s v="Yes"/>
    <s v="No"/>
    <n v="-12498300"/>
    <x v="9"/>
    <n v="10"/>
  </r>
  <r>
    <s v="TXN0304"/>
    <d v="2026-10-31T00:00:00"/>
    <n v="2026"/>
    <x v="0"/>
    <x v="0"/>
    <x v="1"/>
    <x v="8"/>
    <s v="Project"/>
    <x v="2"/>
    <s v="PT Sejahtera Makmur"/>
    <s v="Project"/>
    <n v="7696300"/>
    <n v="0"/>
    <x v="0"/>
    <s v="Semarang"/>
    <s v="Completed"/>
    <s v="No"/>
    <s v="No"/>
    <n v="-4802000"/>
    <x v="9"/>
    <n v="10"/>
  </r>
  <r>
    <s v="TXN0305"/>
    <d v="2026-11-01T00:00:00"/>
    <n v="2026"/>
    <x v="0"/>
    <x v="1"/>
    <x v="0"/>
    <x v="0"/>
    <s v="House Rent"/>
    <x v="0"/>
    <s v="Alfamart"/>
    <s v="House Rent"/>
    <n v="1161200"/>
    <n v="1115000"/>
    <x v="1"/>
    <s v="Denpasar"/>
    <s v="Completed"/>
    <s v="No"/>
    <s v="No"/>
    <n v="-5963200"/>
    <x v="10"/>
    <n v="11"/>
  </r>
  <r>
    <s v="TXN0306"/>
    <d v="2026-11-02T00:00:00"/>
    <n v="2026"/>
    <x v="2"/>
    <x v="5"/>
    <x v="0"/>
    <x v="6"/>
    <s v="Broadband"/>
    <x v="4"/>
    <s v="Pertamina"/>
    <s v="Broadband"/>
    <n v="539300"/>
    <n v="1503700"/>
    <x v="1"/>
    <s v="Semarang"/>
    <s v="Completed"/>
    <s v="Yes"/>
    <s v="No"/>
    <n v="-6502500"/>
    <x v="10"/>
    <n v="11"/>
  </r>
  <r>
    <s v="TXN0307"/>
    <d v="2026-11-03T00:00:00"/>
    <n v="2026"/>
    <x v="1"/>
    <x v="5"/>
    <x v="0"/>
    <x v="7"/>
    <s v="Restaurant"/>
    <x v="2"/>
    <s v="Shopee"/>
    <s v="Restaurant"/>
    <n v="776500"/>
    <n v="874300"/>
    <x v="2"/>
    <s v="Yogyakarta"/>
    <s v="Completed"/>
    <s v="Yes"/>
    <s v="No"/>
    <n v="-7279000"/>
    <x v="10"/>
    <n v="11"/>
  </r>
  <r>
    <s v="TXN0309"/>
    <d v="2026-11-05T00:00:00"/>
    <n v="2026"/>
    <x v="2"/>
    <x v="5"/>
    <x v="0"/>
    <x v="10"/>
    <s v="Bill"/>
    <x v="1"/>
    <s v="Restoran Sederhana"/>
    <s v="Bill"/>
    <n v="780000"/>
    <n v="1971500"/>
    <x v="0"/>
    <s v="Palembang"/>
    <s v="Completed"/>
    <s v="No"/>
    <s v="No"/>
    <n v="-8059000"/>
    <x v="10"/>
    <n v="11"/>
  </r>
  <r>
    <s v="TXN0310"/>
    <d v="2026-11-06T00:00:00"/>
    <n v="2026"/>
    <x v="0"/>
    <x v="0"/>
    <x v="0"/>
    <x v="2"/>
    <s v="Petrol"/>
    <x v="2"/>
    <s v="Restoran Sederhana"/>
    <s v="Petrol"/>
    <n v="628400"/>
    <n v="1518600"/>
    <x v="2"/>
    <s v="Denpasar"/>
    <s v="Completed"/>
    <s v="No"/>
    <s v="Yes"/>
    <n v="-8687400"/>
    <x v="10"/>
    <n v="11"/>
  </r>
  <r>
    <s v="TXN0311"/>
    <d v="2026-11-07T00:00:00"/>
    <n v="2026"/>
    <x v="1"/>
    <x v="3"/>
    <x v="1"/>
    <x v="9"/>
    <s v="Monthly Salary"/>
    <x v="5"/>
    <s v="Shopee"/>
    <s v="Monthly Salary"/>
    <n v="7750000"/>
    <n v="0"/>
    <x v="3"/>
    <s v="Bandung"/>
    <s v="Completed"/>
    <s v="Yes"/>
    <s v="No"/>
    <n v="-937400"/>
    <x v="10"/>
    <n v="11"/>
  </r>
  <r>
    <s v="TXN0312"/>
    <d v="2026-11-08T00:00:00"/>
    <n v="2026"/>
    <x v="0"/>
    <x v="1"/>
    <x v="0"/>
    <x v="6"/>
    <s v="Broadband"/>
    <x v="3"/>
    <s v="Tokopedia"/>
    <s v="Broadband"/>
    <n v="466400"/>
    <n v="1881000"/>
    <x v="0"/>
    <s v="Medan"/>
    <s v="Completed"/>
    <s v="No"/>
    <s v="No"/>
    <n v="-1403800"/>
    <x v="10"/>
    <n v="11"/>
  </r>
  <r>
    <s v="TXN0313"/>
    <d v="2026-11-09T00:00:00"/>
    <n v="2026"/>
    <x v="1"/>
    <x v="5"/>
    <x v="1"/>
    <x v="3"/>
    <s v="Bonus"/>
    <x v="4"/>
    <s v="Shopee"/>
    <s v="Bonus"/>
    <n v="6333200"/>
    <n v="0"/>
    <x v="0"/>
    <s v="Semarang"/>
    <s v="Completed"/>
    <s v="Yes"/>
    <s v="Yes"/>
    <n v="4929400"/>
    <x v="10"/>
    <n v="11"/>
  </r>
  <r>
    <s v="TXN0314"/>
    <d v="2026-11-10T00:00:00"/>
    <n v="2026"/>
    <x v="2"/>
    <x v="1"/>
    <x v="0"/>
    <x v="10"/>
    <s v="Bill"/>
    <x v="3"/>
    <s v="PT Sejahtera Makmur"/>
    <s v="Bill"/>
    <n v="1018700"/>
    <n v="708700"/>
    <x v="0"/>
    <s v="Medan"/>
    <s v="Completed"/>
    <s v="No"/>
    <s v="No"/>
    <n v="3910700"/>
    <x v="10"/>
    <n v="11"/>
  </r>
  <r>
    <s v="TXN0315"/>
    <d v="2026-11-11T00:00:00"/>
    <n v="2026"/>
    <x v="2"/>
    <x v="1"/>
    <x v="0"/>
    <x v="7"/>
    <s v="Restaurant"/>
    <x v="1"/>
    <s v="Pertamina"/>
    <s v="Restaurant"/>
    <n v="1911400"/>
    <n v="441900"/>
    <x v="3"/>
    <s v="Jakarta"/>
    <s v="Completed"/>
    <s v="No"/>
    <s v="Yes"/>
    <n v="1999300"/>
    <x v="10"/>
    <n v="11"/>
  </r>
  <r>
    <s v="TXN0316"/>
    <d v="2026-11-12T00:00:00"/>
    <n v="2026"/>
    <x v="1"/>
    <x v="2"/>
    <x v="0"/>
    <x v="2"/>
    <s v="Petrol"/>
    <x v="1"/>
    <s v="Bibit"/>
    <s v="Petrol"/>
    <n v="1043400"/>
    <n v="149800"/>
    <x v="0"/>
    <s v="Malang"/>
    <s v="Completed"/>
    <s v="Yes"/>
    <s v="Yes"/>
    <n v="955900"/>
    <x v="10"/>
    <n v="11"/>
  </r>
  <r>
    <s v="TXN0317"/>
    <d v="2026-11-13T00:00:00"/>
    <n v="2026"/>
    <x v="0"/>
    <x v="3"/>
    <x v="0"/>
    <x v="7"/>
    <s v="Restaurant"/>
    <x v="1"/>
    <s v="PT Sejahtera Makmur"/>
    <s v="Restaurant"/>
    <n v="578000"/>
    <n v="933400"/>
    <x v="1"/>
    <s v="Palembang"/>
    <s v="Completed"/>
    <s v="Yes"/>
    <s v="No"/>
    <n v="377900"/>
    <x v="10"/>
    <n v="11"/>
  </r>
  <r>
    <s v="TXN0318"/>
    <d v="2026-11-14T00:00:00"/>
    <n v="2026"/>
    <x v="2"/>
    <x v="1"/>
    <x v="0"/>
    <x v="5"/>
    <s v="Clothing"/>
    <x v="5"/>
    <s v="Tokopedia"/>
    <s v="Clothing"/>
    <n v="871600"/>
    <n v="486000"/>
    <x v="2"/>
    <s v="Jakarta"/>
    <s v="Completed"/>
    <s v="No"/>
    <s v="No"/>
    <n v="-493700"/>
    <x v="10"/>
    <n v="11"/>
  </r>
  <r>
    <s v="TXN0319"/>
    <d v="2026-11-15T00:00:00"/>
    <n v="2026"/>
    <x v="0"/>
    <x v="1"/>
    <x v="0"/>
    <x v="10"/>
    <s v="Bill"/>
    <x v="0"/>
    <s v="Restoran Sederhana"/>
    <s v="Bill"/>
    <n v="1806200"/>
    <n v="1527100"/>
    <x v="1"/>
    <s v="Makassar"/>
    <s v="Completed"/>
    <s v="No"/>
    <s v="No"/>
    <n v="-2299900"/>
    <x v="10"/>
    <n v="11"/>
  </r>
  <r>
    <s v="TXN0320"/>
    <d v="2026-11-16T00:00:00"/>
    <n v="2026"/>
    <x v="1"/>
    <x v="5"/>
    <x v="1"/>
    <x v="3"/>
    <s v="Bonus"/>
    <x v="0"/>
    <s v="PT Sejahtera Makmur"/>
    <s v="Bonus"/>
    <n v="3890600"/>
    <n v="0"/>
    <x v="2"/>
    <s v="Jakarta"/>
    <s v="Completed"/>
    <s v="No"/>
    <s v="No"/>
    <n v="1590700"/>
    <x v="10"/>
    <n v="11"/>
  </r>
  <r>
    <s v="TXN0321"/>
    <d v="2026-11-17T00:00:00"/>
    <n v="2026"/>
    <x v="0"/>
    <x v="2"/>
    <x v="0"/>
    <x v="10"/>
    <s v="Bill"/>
    <x v="1"/>
    <s v="Alfamart"/>
    <s v="Bill"/>
    <n v="468400"/>
    <n v="1441100"/>
    <x v="2"/>
    <s v="Jakarta"/>
    <s v="Completed"/>
    <s v="No"/>
    <s v="Yes"/>
    <n v="1122300"/>
    <x v="10"/>
    <n v="11"/>
  </r>
  <r>
    <s v="TXN0322"/>
    <d v="2026-11-18T00:00:00"/>
    <n v="2026"/>
    <x v="1"/>
    <x v="0"/>
    <x v="1"/>
    <x v="9"/>
    <s v="Monthly Salary"/>
    <x v="3"/>
    <s v="Telkomsel"/>
    <s v="Monthly Salary"/>
    <n v="376400"/>
    <n v="0"/>
    <x v="0"/>
    <s v="Malang"/>
    <s v="Completed"/>
    <s v="No"/>
    <s v="No"/>
    <n v="1498700"/>
    <x v="10"/>
    <n v="11"/>
  </r>
  <r>
    <s v="TXN0323"/>
    <d v="2026-11-19T00:00:00"/>
    <n v="2026"/>
    <x v="1"/>
    <x v="3"/>
    <x v="0"/>
    <x v="5"/>
    <s v="Clothing"/>
    <x v="0"/>
    <s v="Bibit"/>
    <s v="Clothing"/>
    <n v="369800"/>
    <n v="683800"/>
    <x v="0"/>
    <s v="Denpasar"/>
    <s v="Completed"/>
    <s v="No"/>
    <s v="No"/>
    <n v="1128900"/>
    <x v="10"/>
    <n v="11"/>
  </r>
  <r>
    <s v="TXN0324"/>
    <d v="2026-11-20T00:00:00"/>
    <n v="2026"/>
    <x v="2"/>
    <x v="4"/>
    <x v="0"/>
    <x v="2"/>
    <s v="Petrol"/>
    <x v="4"/>
    <s v="PT Sejahtera Makmur"/>
    <s v="Petrol"/>
    <n v="1289400"/>
    <n v="932600"/>
    <x v="0"/>
    <s v="Palembang"/>
    <s v="Completed"/>
    <s v="Yes"/>
    <s v="No"/>
    <n v="-160500"/>
    <x v="10"/>
    <n v="11"/>
  </r>
  <r>
    <s v="TXN0325"/>
    <d v="2026-11-21T00:00:00"/>
    <n v="2026"/>
    <x v="0"/>
    <x v="4"/>
    <x v="1"/>
    <x v="3"/>
    <s v="Bonus"/>
    <x v="0"/>
    <s v="Bibit"/>
    <s v="Bonus"/>
    <n v="5999100"/>
    <n v="0"/>
    <x v="3"/>
    <s v="Palembang"/>
    <s v="Completed"/>
    <s v="No"/>
    <s v="Yes"/>
    <n v="5838600"/>
    <x v="10"/>
    <n v="11"/>
  </r>
  <r>
    <s v="TXN0326"/>
    <d v="2026-11-22T00:00:00"/>
    <n v="2026"/>
    <x v="2"/>
    <x v="0"/>
    <x v="0"/>
    <x v="11"/>
    <s v="Supermarket"/>
    <x v="1"/>
    <s v="PT Sejahtera Makmur"/>
    <s v="Supermarket"/>
    <n v="1146000"/>
    <n v="1696000"/>
    <x v="3"/>
    <s v="Bandung"/>
    <s v="Completed"/>
    <s v="No"/>
    <s v="No"/>
    <n v="4692600"/>
    <x v="10"/>
    <n v="11"/>
  </r>
  <r>
    <s v="TXN0327"/>
    <d v="2026-11-23T00:00:00"/>
    <n v="2026"/>
    <x v="1"/>
    <x v="2"/>
    <x v="0"/>
    <x v="10"/>
    <s v="Bill"/>
    <x v="5"/>
    <s v="Alfamart"/>
    <s v="Bill"/>
    <n v="1061200"/>
    <n v="1305100"/>
    <x v="3"/>
    <s v="Jakarta"/>
    <s v="Completed"/>
    <s v="No"/>
    <s v="Yes"/>
    <n v="3631400"/>
    <x v="10"/>
    <n v="11"/>
  </r>
  <r>
    <s v="TXN0328"/>
    <d v="2026-11-24T00:00:00"/>
    <n v="2026"/>
    <x v="0"/>
    <x v="0"/>
    <x v="1"/>
    <x v="8"/>
    <s v="Project"/>
    <x v="2"/>
    <s v="Alfamart"/>
    <s v="Project"/>
    <n v="6905500"/>
    <n v="0"/>
    <x v="2"/>
    <s v="Palembang"/>
    <s v="Completed"/>
    <s v="No"/>
    <s v="No"/>
    <n v="10536900"/>
    <x v="10"/>
    <n v="11"/>
  </r>
  <r>
    <s v="TXN0330"/>
    <d v="2026-11-26T00:00:00"/>
    <n v="2026"/>
    <x v="0"/>
    <x v="1"/>
    <x v="0"/>
    <x v="7"/>
    <s v="Restaurant"/>
    <x v="3"/>
    <s v="Bibit"/>
    <s v="Restaurant"/>
    <n v="1559200"/>
    <n v="1039500"/>
    <x v="0"/>
    <s v="Surabaya"/>
    <s v="Completed"/>
    <s v="Yes"/>
    <s v="Yes"/>
    <n v="8977700"/>
    <x v="10"/>
    <n v="11"/>
  </r>
  <r>
    <s v="TXN0331"/>
    <d v="2026-11-27T00:00:00"/>
    <n v="2026"/>
    <x v="0"/>
    <x v="3"/>
    <x v="1"/>
    <x v="1"/>
    <s v="Interest"/>
    <x v="4"/>
    <s v="Telkomsel"/>
    <s v="Interest"/>
    <n v="2759900"/>
    <n v="0"/>
    <x v="0"/>
    <s v="Bandung"/>
    <s v="Completed"/>
    <s v="Yes"/>
    <s v="Yes"/>
    <n v="11737600"/>
    <x v="10"/>
    <n v="11"/>
  </r>
  <r>
    <s v="TXN0332"/>
    <d v="2026-11-28T00:00:00"/>
    <n v="2026"/>
    <x v="1"/>
    <x v="5"/>
    <x v="0"/>
    <x v="6"/>
    <s v="Broadband"/>
    <x v="4"/>
    <s v="Pertamina"/>
    <s v="Broadband"/>
    <n v="610000"/>
    <n v="207400"/>
    <x v="1"/>
    <s v="Surabaya"/>
    <s v="Completed"/>
    <s v="No"/>
    <s v="Yes"/>
    <n v="11127600"/>
    <x v="10"/>
    <n v="11"/>
  </r>
  <r>
    <s v="TXN0334"/>
    <d v="2026-11-30T00:00:00"/>
    <n v="2026"/>
    <x v="0"/>
    <x v="0"/>
    <x v="0"/>
    <x v="0"/>
    <s v="House Rent"/>
    <x v="2"/>
    <s v="PT Sejahtera Makmur"/>
    <s v="House Rent"/>
    <n v="1371800"/>
    <n v="1412400"/>
    <x v="2"/>
    <s v="Malang"/>
    <s v="Completed"/>
    <s v="Yes"/>
    <s v="No"/>
    <n v="9755800"/>
    <x v="10"/>
    <n v="11"/>
  </r>
  <r>
    <s v="TXN0336"/>
    <d v="2026-12-02T00:00:00"/>
    <n v="2026"/>
    <x v="1"/>
    <x v="2"/>
    <x v="0"/>
    <x v="6"/>
    <s v="Broadband"/>
    <x v="1"/>
    <s v="Pertamina"/>
    <s v="Broadband"/>
    <n v="1583100"/>
    <n v="1100000"/>
    <x v="3"/>
    <s v="Surabaya"/>
    <s v="Completed"/>
    <s v="No"/>
    <s v="No"/>
    <n v="8172700"/>
    <x v="11"/>
    <n v="12"/>
  </r>
  <r>
    <s v="TXN0337"/>
    <d v="2026-12-03T00:00:00"/>
    <n v="2026"/>
    <x v="0"/>
    <x v="3"/>
    <x v="0"/>
    <x v="4"/>
    <s v="Pharmacy"/>
    <x v="4"/>
    <s v="Restoran Sederhana"/>
    <s v="Pharmacy"/>
    <n v="1959000"/>
    <n v="1293500"/>
    <x v="1"/>
    <s v="Medan"/>
    <s v="Completed"/>
    <s v="Yes"/>
    <s v="Yes"/>
    <n v="6213700"/>
    <x v="11"/>
    <n v="12"/>
  </r>
  <r>
    <s v="TXN0338"/>
    <d v="2026-12-04T00:00:00"/>
    <n v="2026"/>
    <x v="0"/>
    <x v="0"/>
    <x v="0"/>
    <x v="11"/>
    <s v="Supermarket"/>
    <x v="2"/>
    <s v="PT Sejahtera Makmur"/>
    <s v="Supermarket"/>
    <n v="1390600"/>
    <n v="1428600"/>
    <x v="0"/>
    <s v="Yogyakarta"/>
    <s v="Completed"/>
    <s v="No"/>
    <s v="No"/>
    <n v="4823100"/>
    <x v="11"/>
    <n v="12"/>
  </r>
  <r>
    <s v="TXN0339"/>
    <d v="2026-12-05T00:00:00"/>
    <n v="2026"/>
    <x v="2"/>
    <x v="0"/>
    <x v="0"/>
    <x v="11"/>
    <s v="Supermarket"/>
    <x v="0"/>
    <s v="Pertamina"/>
    <s v="Supermarket"/>
    <n v="194100"/>
    <n v="162200"/>
    <x v="0"/>
    <s v="Surabaya"/>
    <s v="Completed"/>
    <s v="No"/>
    <s v="No"/>
    <n v="4629000"/>
    <x v="11"/>
    <n v="12"/>
  </r>
  <r>
    <s v="TXN0340"/>
    <d v="2026-12-06T00:00:00"/>
    <n v="2026"/>
    <x v="1"/>
    <x v="4"/>
    <x v="0"/>
    <x v="5"/>
    <s v="Clothing"/>
    <x v="4"/>
    <s v="Pertamina"/>
    <s v="Clothing"/>
    <n v="177500"/>
    <n v="1942300"/>
    <x v="1"/>
    <s v="Malang"/>
    <s v="Completed"/>
    <s v="Yes"/>
    <s v="No"/>
    <n v="4451500"/>
    <x v="11"/>
    <n v="12"/>
  </r>
  <r>
    <s v="TXN0341"/>
    <d v="2026-12-07T00:00:00"/>
    <n v="2026"/>
    <x v="0"/>
    <x v="1"/>
    <x v="0"/>
    <x v="5"/>
    <s v="Clothing"/>
    <x v="5"/>
    <s v="Apotek Kimia Farma"/>
    <s v="Clothing"/>
    <n v="801400"/>
    <n v="576000"/>
    <x v="1"/>
    <s v="Medan"/>
    <s v="Completed"/>
    <s v="No"/>
    <s v="No"/>
    <n v="3650100"/>
    <x v="11"/>
    <n v="12"/>
  </r>
  <r>
    <s v="TXN0342"/>
    <d v="2026-12-08T00:00:00"/>
    <n v="2026"/>
    <x v="2"/>
    <x v="4"/>
    <x v="0"/>
    <x v="5"/>
    <s v="Clothing"/>
    <x v="2"/>
    <s v="Restoran Sederhana"/>
    <s v="Clothing"/>
    <n v="1199500"/>
    <n v="1072700"/>
    <x v="3"/>
    <s v="Malang"/>
    <s v="Completed"/>
    <s v="Yes"/>
    <s v="No"/>
    <n v="2450600"/>
    <x v="11"/>
    <n v="12"/>
  </r>
  <r>
    <s v="TXN0344"/>
    <d v="2026-12-10T00:00:00"/>
    <n v="2026"/>
    <x v="0"/>
    <x v="1"/>
    <x v="1"/>
    <x v="3"/>
    <s v="Bonus"/>
    <x v="5"/>
    <s v="Bibit"/>
    <s v="Bonus"/>
    <n v="3313900"/>
    <n v="0"/>
    <x v="2"/>
    <s v="Malang"/>
    <s v="Completed"/>
    <s v="No"/>
    <s v="No"/>
    <n v="5764500"/>
    <x v="11"/>
    <n v="12"/>
  </r>
  <r>
    <s v="TXN0345"/>
    <d v="2026-12-11T00:00:00"/>
    <n v="2026"/>
    <x v="2"/>
    <x v="2"/>
    <x v="0"/>
    <x v="5"/>
    <s v="Clothing"/>
    <x v="2"/>
    <s v="Telkomsel"/>
    <s v="Clothing"/>
    <n v="1270700"/>
    <n v="1381800"/>
    <x v="2"/>
    <s v="Jakarta"/>
    <s v="Completed"/>
    <s v="No"/>
    <s v="No"/>
    <n v="4493800"/>
    <x v="11"/>
    <n v="12"/>
  </r>
  <r>
    <s v="TXN0346"/>
    <d v="2026-12-12T00:00:00"/>
    <n v="2026"/>
    <x v="1"/>
    <x v="1"/>
    <x v="1"/>
    <x v="8"/>
    <s v="Project"/>
    <x v="5"/>
    <s v="Shopee"/>
    <s v="Project"/>
    <n v="7395400"/>
    <n v="0"/>
    <x v="3"/>
    <s v="Malang"/>
    <s v="Completed"/>
    <s v="No"/>
    <s v="No"/>
    <n v="11889200"/>
    <x v="11"/>
    <n v="12"/>
  </r>
  <r>
    <s v="TXN0347"/>
    <d v="2026-12-13T00:00:00"/>
    <n v="2026"/>
    <x v="0"/>
    <x v="0"/>
    <x v="0"/>
    <x v="2"/>
    <s v="Petrol"/>
    <x v="2"/>
    <s v="Tokopedia"/>
    <s v="Petrol"/>
    <n v="557000"/>
    <n v="818500"/>
    <x v="1"/>
    <s v="Surabaya"/>
    <s v="Completed"/>
    <s v="No"/>
    <s v="No"/>
    <n v="11332200"/>
    <x v="11"/>
    <n v="12"/>
  </r>
  <r>
    <s v="TXN0349"/>
    <d v="2026-12-15T00:00:00"/>
    <n v="2026"/>
    <x v="0"/>
    <x v="1"/>
    <x v="0"/>
    <x v="10"/>
    <s v="Bill"/>
    <x v="1"/>
    <s v="Bibit"/>
    <s v="Bill"/>
    <n v="1119100"/>
    <n v="403500"/>
    <x v="1"/>
    <s v="Yogyakarta"/>
    <s v="Completed"/>
    <s v="No"/>
    <s v="No"/>
    <n v="10213100"/>
    <x v="11"/>
    <n v="12"/>
  </r>
  <r>
    <s v="TXN0350"/>
    <d v="2026-12-16T00:00:00"/>
    <n v="2026"/>
    <x v="1"/>
    <x v="2"/>
    <x v="0"/>
    <x v="10"/>
    <s v="Bill"/>
    <x v="1"/>
    <s v="Bibit"/>
    <s v="Bill"/>
    <n v="1982400"/>
    <n v="1810100"/>
    <x v="3"/>
    <s v="Malang"/>
    <s v="Completed"/>
    <s v="No"/>
    <s v="No"/>
    <n v="8230700"/>
    <x v="11"/>
    <n v="12"/>
  </r>
  <r>
    <s v="TXN0351"/>
    <d v="2026-12-17T00:00:00"/>
    <n v="2026"/>
    <x v="1"/>
    <x v="5"/>
    <x v="0"/>
    <x v="7"/>
    <s v="Restaurant"/>
    <x v="0"/>
    <s v="PT Sejahtera Makmur"/>
    <s v="Restaurant"/>
    <n v="675500"/>
    <n v="1930500"/>
    <x v="0"/>
    <s v="Malang"/>
    <s v="Completed"/>
    <s v="No"/>
    <s v="Yes"/>
    <n v="7555200"/>
    <x v="11"/>
    <n v="12"/>
  </r>
  <r>
    <s v="TXN0352"/>
    <d v="2026-12-18T00:00:00"/>
    <n v="2026"/>
    <x v="2"/>
    <x v="5"/>
    <x v="0"/>
    <x v="0"/>
    <s v="House Rent"/>
    <x v="1"/>
    <s v="PT Sejahtera Makmur"/>
    <s v="House Rent"/>
    <n v="34600"/>
    <n v="1943700"/>
    <x v="0"/>
    <s v="Palembang"/>
    <s v="Completed"/>
    <s v="No"/>
    <s v="No"/>
    <n v="7520600"/>
    <x v="11"/>
    <n v="12"/>
  </r>
  <r>
    <s v="TXN0353"/>
    <d v="2026-12-19T00:00:00"/>
    <n v="2026"/>
    <x v="1"/>
    <x v="4"/>
    <x v="0"/>
    <x v="4"/>
    <s v="Pharmacy"/>
    <x v="1"/>
    <s v="Pertamina"/>
    <s v="Pharmacy"/>
    <n v="1077800"/>
    <n v="933100"/>
    <x v="0"/>
    <s v="Makassar"/>
    <s v="Completed"/>
    <s v="Yes"/>
    <s v="Yes"/>
    <n v="6442800"/>
    <x v="11"/>
    <n v="12"/>
  </r>
  <r>
    <s v="TXN0354"/>
    <d v="2026-12-20T00:00:00"/>
    <n v="2026"/>
    <x v="2"/>
    <x v="2"/>
    <x v="1"/>
    <x v="1"/>
    <s v="Interest"/>
    <x v="4"/>
    <s v="PT Sejahtera Makmur"/>
    <s v="Interest"/>
    <n v="238100"/>
    <n v="0"/>
    <x v="3"/>
    <s v="Semarang"/>
    <s v="Completed"/>
    <s v="Yes"/>
    <s v="Yes"/>
    <n v="6680900"/>
    <x v="11"/>
    <n v="12"/>
  </r>
  <r>
    <s v="TXN0355"/>
    <d v="2026-12-21T00:00:00"/>
    <n v="2026"/>
    <x v="2"/>
    <x v="3"/>
    <x v="0"/>
    <x v="11"/>
    <s v="Supermarket"/>
    <x v="4"/>
    <s v="Pertamina"/>
    <s v="Supermarket"/>
    <n v="147200"/>
    <n v="1076200"/>
    <x v="0"/>
    <s v="Medan"/>
    <s v="Completed"/>
    <s v="No"/>
    <s v="No"/>
    <n v="6533700"/>
    <x v="11"/>
    <n v="12"/>
  </r>
  <r>
    <s v="TXN0356"/>
    <d v="2026-12-22T00:00:00"/>
    <n v="2026"/>
    <x v="0"/>
    <x v="0"/>
    <x v="0"/>
    <x v="2"/>
    <s v="Petrol"/>
    <x v="0"/>
    <s v="Apotek Kimia Farma"/>
    <s v="Petrol"/>
    <n v="1673600"/>
    <n v="145700"/>
    <x v="1"/>
    <s v="Makassar"/>
    <s v="Completed"/>
    <s v="No"/>
    <s v="No"/>
    <n v="4860100"/>
    <x v="11"/>
    <n v="12"/>
  </r>
  <r>
    <s v="TXN0357"/>
    <d v="2026-12-23T00:00:00"/>
    <n v="2026"/>
    <x v="0"/>
    <x v="3"/>
    <x v="0"/>
    <x v="2"/>
    <s v="Petrol"/>
    <x v="2"/>
    <s v="Pertamina"/>
    <s v="Petrol"/>
    <n v="611700"/>
    <n v="856800"/>
    <x v="1"/>
    <s v="Medan"/>
    <s v="Completed"/>
    <s v="Yes"/>
    <s v="No"/>
    <n v="4248400"/>
    <x v="11"/>
    <n v="12"/>
  </r>
  <r>
    <s v="TXN0358"/>
    <d v="2026-12-24T00:00:00"/>
    <n v="2026"/>
    <x v="2"/>
    <x v="4"/>
    <x v="1"/>
    <x v="1"/>
    <s v="Interest"/>
    <x v="4"/>
    <s v="Apotek Kimia Farma"/>
    <s v="Interest"/>
    <n v="945500"/>
    <n v="0"/>
    <x v="1"/>
    <s v="Semarang"/>
    <s v="Completed"/>
    <s v="No"/>
    <s v="No"/>
    <n v="5193900"/>
    <x v="11"/>
    <n v="12"/>
  </r>
  <r>
    <s v="TXN0359"/>
    <d v="2026-12-25T00:00:00"/>
    <n v="2026"/>
    <x v="0"/>
    <x v="3"/>
    <x v="1"/>
    <x v="9"/>
    <s v="Monthly Salary"/>
    <x v="0"/>
    <s v="Restoran Sederhana"/>
    <s v="Monthly Salary"/>
    <n v="7841600"/>
    <n v="0"/>
    <x v="1"/>
    <s v="Yogyakarta"/>
    <s v="Completed"/>
    <s v="No"/>
    <s v="Yes"/>
    <n v="13035500"/>
    <x v="11"/>
    <n v="12"/>
  </r>
  <r>
    <s v="TXN0360"/>
    <d v="2026-12-26T00:00:00"/>
    <n v="2026"/>
    <x v="1"/>
    <x v="4"/>
    <x v="0"/>
    <x v="5"/>
    <s v="Clothing"/>
    <x v="1"/>
    <s v="Pertamina"/>
    <s v="Clothing"/>
    <n v="1504000"/>
    <n v="1576200"/>
    <x v="2"/>
    <s v="Bandung"/>
    <s v="Completed"/>
    <s v="No"/>
    <s v="No"/>
    <n v="11531500"/>
    <x v="11"/>
    <n v="12"/>
  </r>
  <r>
    <s v="TXN0361"/>
    <d v="2026-12-27T00:00:00"/>
    <n v="2026"/>
    <x v="1"/>
    <x v="2"/>
    <x v="1"/>
    <x v="1"/>
    <s v="Interest"/>
    <x v="4"/>
    <s v="Shopee"/>
    <s v="Interest"/>
    <n v="3015800"/>
    <n v="0"/>
    <x v="1"/>
    <s v="Semarang"/>
    <s v="Completed"/>
    <s v="No"/>
    <s v="No"/>
    <n v="14547300"/>
    <x v="11"/>
    <n v="12"/>
  </r>
  <r>
    <s v="TXN0362"/>
    <d v="2026-12-28T00:00:00"/>
    <n v="2026"/>
    <x v="2"/>
    <x v="3"/>
    <x v="1"/>
    <x v="3"/>
    <s v="Bonus"/>
    <x v="5"/>
    <s v="Alfamart"/>
    <s v="Bonus"/>
    <n v="646100"/>
    <n v="0"/>
    <x v="0"/>
    <s v="Denpasar"/>
    <s v="Completed"/>
    <s v="No"/>
    <s v="No"/>
    <n v="15193400"/>
    <x v="11"/>
    <n v="12"/>
  </r>
  <r>
    <s v="TXN0363"/>
    <d v="2026-12-29T00:00:00"/>
    <n v="2026"/>
    <x v="2"/>
    <x v="1"/>
    <x v="0"/>
    <x v="5"/>
    <s v="Clothing"/>
    <x v="5"/>
    <s v="PT Sejahtera Makmur"/>
    <s v="Clothing"/>
    <n v="1461400"/>
    <n v="1116700"/>
    <x v="1"/>
    <s v="Makassar"/>
    <s v="Completed"/>
    <s v="No"/>
    <s v="No"/>
    <n v="13732000"/>
    <x v="11"/>
    <n v="12"/>
  </r>
  <r>
    <s v="TXN0364"/>
    <d v="2026-12-30T00:00:00"/>
    <n v="2026"/>
    <x v="1"/>
    <x v="2"/>
    <x v="0"/>
    <x v="7"/>
    <s v="Restaurant"/>
    <x v="3"/>
    <s v="Tokopedia"/>
    <s v="Restaurant"/>
    <n v="25200"/>
    <n v="927100"/>
    <x v="0"/>
    <s v="Surabaya"/>
    <s v="Completed"/>
    <s v="No"/>
    <s v="No"/>
    <n v="13706800"/>
    <x v="11"/>
    <n v="12"/>
  </r>
  <r>
    <s v="TXN0365"/>
    <d v="2026-12-31T00:00:00"/>
    <n v="2026"/>
    <x v="1"/>
    <x v="1"/>
    <x v="0"/>
    <x v="5"/>
    <s v="Clothing"/>
    <x v="4"/>
    <s v="Restoran Sederhana"/>
    <s v="Clothing"/>
    <n v="1753700"/>
    <n v="1788700"/>
    <x v="1"/>
    <s v="Jakarta"/>
    <s v="Completed"/>
    <s v="No"/>
    <s v="Yes"/>
    <n v="11953100"/>
    <x v="11"/>
    <n v="12"/>
  </r>
  <r>
    <s v="TXN0366"/>
    <d v="2026-01-01T00:00:00"/>
    <n v="2026"/>
    <x v="0"/>
    <x v="2"/>
    <x v="0"/>
    <x v="2"/>
    <s v="Petrol"/>
    <x v="5"/>
    <s v="Shopee"/>
    <s v="Petrol"/>
    <n v="674200"/>
    <n v="1039100"/>
    <x v="3"/>
    <s v="Denpasar"/>
    <s v="Completed"/>
    <s v="Yes"/>
    <s v="Yes"/>
    <n v="11278900"/>
    <x v="0"/>
    <n v="1"/>
  </r>
  <r>
    <s v="TXN0367"/>
    <d v="2026-01-02T00:00:00"/>
    <n v="2026"/>
    <x v="0"/>
    <x v="3"/>
    <x v="0"/>
    <x v="2"/>
    <s v="Petrol"/>
    <x v="4"/>
    <s v="Alfamart"/>
    <s v="Petrol"/>
    <n v="647800"/>
    <n v="440300"/>
    <x v="0"/>
    <s v="Malang"/>
    <s v="Completed"/>
    <s v="No"/>
    <s v="No"/>
    <n v="10631100"/>
    <x v="0"/>
    <n v="1"/>
  </r>
  <r>
    <s v="TXN0368"/>
    <d v="2026-01-03T00:00:00"/>
    <n v="2026"/>
    <x v="2"/>
    <x v="0"/>
    <x v="0"/>
    <x v="4"/>
    <s v="Pharmacy"/>
    <x v="3"/>
    <s v="Tokopedia"/>
    <s v="Pharmacy"/>
    <n v="1718900"/>
    <n v="1978100"/>
    <x v="2"/>
    <s v="Malang"/>
    <s v="Completed"/>
    <s v="Yes"/>
    <s v="No"/>
    <n v="8912200"/>
    <x v="0"/>
    <n v="1"/>
  </r>
  <r>
    <s v="TXN0369"/>
    <d v="2026-01-04T00:00:00"/>
    <n v="2026"/>
    <x v="0"/>
    <x v="4"/>
    <x v="0"/>
    <x v="11"/>
    <s v="Supermarket"/>
    <x v="0"/>
    <s v="Shopee"/>
    <s v="Supermarket"/>
    <n v="1846100"/>
    <n v="370900"/>
    <x v="2"/>
    <s v="Surabaya"/>
    <s v="Completed"/>
    <s v="Yes"/>
    <s v="No"/>
    <n v="7066100"/>
    <x v="0"/>
    <n v="1"/>
  </r>
  <r>
    <s v="TXN0370"/>
    <d v="2026-01-05T00:00:00"/>
    <n v="2026"/>
    <x v="1"/>
    <x v="3"/>
    <x v="0"/>
    <x v="7"/>
    <s v="Restaurant"/>
    <x v="2"/>
    <s v="Tokopedia"/>
    <s v="Restaurant"/>
    <n v="1775700"/>
    <n v="1299100"/>
    <x v="3"/>
    <s v="Surabaya"/>
    <s v="Completed"/>
    <s v="No"/>
    <s v="No"/>
    <n v="5290400"/>
    <x v="0"/>
    <n v="1"/>
  </r>
  <r>
    <s v="TXN0371"/>
    <d v="2026-01-06T00:00:00"/>
    <n v="2026"/>
    <x v="0"/>
    <x v="2"/>
    <x v="1"/>
    <x v="1"/>
    <s v="Interest"/>
    <x v="4"/>
    <s v="Alfamart"/>
    <s v="Interest"/>
    <n v="2256500"/>
    <n v="0"/>
    <x v="0"/>
    <s v="Palembang"/>
    <s v="Completed"/>
    <s v="No"/>
    <s v="No"/>
    <n v="7546900"/>
    <x v="0"/>
    <n v="1"/>
  </r>
  <r>
    <s v="TXN0372"/>
    <d v="2026-01-07T00:00:00"/>
    <n v="2026"/>
    <x v="0"/>
    <x v="2"/>
    <x v="0"/>
    <x v="0"/>
    <s v="House Rent"/>
    <x v="1"/>
    <s v="Shopee"/>
    <s v="House Rent"/>
    <n v="1640500"/>
    <n v="1268000"/>
    <x v="2"/>
    <s v="Medan"/>
    <s v="Completed"/>
    <s v="No"/>
    <s v="No"/>
    <n v="5906400"/>
    <x v="0"/>
    <n v="1"/>
  </r>
  <r>
    <s v="TXN0373"/>
    <d v="2026-01-08T00:00:00"/>
    <n v="2026"/>
    <x v="2"/>
    <x v="2"/>
    <x v="1"/>
    <x v="8"/>
    <s v="Project"/>
    <x v="3"/>
    <s v="Alfamart"/>
    <s v="Project"/>
    <n v="2334100"/>
    <n v="0"/>
    <x v="1"/>
    <s v="Palembang"/>
    <s v="Completed"/>
    <s v="Yes"/>
    <s v="No"/>
    <n v="8240500"/>
    <x v="0"/>
    <n v="1"/>
  </r>
  <r>
    <s v="TXN0374"/>
    <d v="2026-01-09T00:00:00"/>
    <n v="2026"/>
    <x v="0"/>
    <x v="3"/>
    <x v="0"/>
    <x v="4"/>
    <s v="Pharmacy"/>
    <x v="3"/>
    <s v="Restoran Sederhana"/>
    <s v="Pharmacy"/>
    <n v="1867300"/>
    <n v="1970000"/>
    <x v="1"/>
    <s v="Semarang"/>
    <s v="Completed"/>
    <s v="No"/>
    <s v="Yes"/>
    <n v="6373200"/>
    <x v="0"/>
    <n v="1"/>
  </r>
  <r>
    <s v="TXN0375"/>
    <d v="2026-01-10T00:00:00"/>
    <n v="2026"/>
    <x v="2"/>
    <x v="4"/>
    <x v="0"/>
    <x v="4"/>
    <s v="Pharmacy"/>
    <x v="2"/>
    <s v="Apotek Kimia Farma"/>
    <s v="Pharmacy"/>
    <n v="1574600"/>
    <n v="1288700"/>
    <x v="2"/>
    <s v="Bandung"/>
    <s v="Completed"/>
    <s v="No"/>
    <s v="No"/>
    <n v="4798600"/>
    <x v="0"/>
    <n v="1"/>
  </r>
  <r>
    <s v="TXN0376"/>
    <d v="2026-01-11T00:00:00"/>
    <n v="2026"/>
    <x v="2"/>
    <x v="3"/>
    <x v="0"/>
    <x v="10"/>
    <s v="Bill"/>
    <x v="5"/>
    <s v="Shopee"/>
    <s v="Bill"/>
    <n v="1471200"/>
    <n v="1849900"/>
    <x v="2"/>
    <s v="Makassar"/>
    <s v="Completed"/>
    <s v="No"/>
    <s v="Yes"/>
    <n v="3327400"/>
    <x v="0"/>
    <n v="1"/>
  </r>
  <r>
    <s v="TXN0378"/>
    <d v="2026-01-13T00:00:00"/>
    <n v="2026"/>
    <x v="0"/>
    <x v="1"/>
    <x v="0"/>
    <x v="6"/>
    <s v="Broadband"/>
    <x v="1"/>
    <s v="Shopee"/>
    <s v="Broadband"/>
    <n v="412700"/>
    <n v="1802800"/>
    <x v="2"/>
    <s v="Surabaya"/>
    <s v="Completed"/>
    <s v="No"/>
    <s v="No"/>
    <n v="2914700"/>
    <x v="0"/>
    <n v="1"/>
  </r>
  <r>
    <s v="TXN0379"/>
    <d v="2026-01-14T00:00:00"/>
    <n v="2026"/>
    <x v="0"/>
    <x v="1"/>
    <x v="0"/>
    <x v="11"/>
    <s v="Supermarket"/>
    <x v="5"/>
    <s v="Telkomsel"/>
    <s v="Supermarket"/>
    <n v="1320600"/>
    <n v="1505100"/>
    <x v="0"/>
    <s v="Medan"/>
    <s v="Completed"/>
    <s v="No"/>
    <s v="No"/>
    <n v="1594100"/>
    <x v="0"/>
    <n v="1"/>
  </r>
  <r>
    <s v="TXN0380"/>
    <d v="2026-01-15T00:00:00"/>
    <n v="2026"/>
    <x v="0"/>
    <x v="1"/>
    <x v="0"/>
    <x v="5"/>
    <s v="Clothing"/>
    <x v="3"/>
    <s v="Shopee"/>
    <s v="Clothing"/>
    <n v="791900"/>
    <n v="1929100"/>
    <x v="1"/>
    <s v="Makassar"/>
    <s v="Completed"/>
    <s v="No"/>
    <s v="No"/>
    <n v="802200"/>
    <x v="0"/>
    <n v="1"/>
  </r>
  <r>
    <s v="TXN0381"/>
    <d v="2026-01-16T00:00:00"/>
    <n v="2026"/>
    <x v="1"/>
    <x v="4"/>
    <x v="0"/>
    <x v="0"/>
    <s v="House Rent"/>
    <x v="1"/>
    <s v="Telkomsel"/>
    <s v="House Rent"/>
    <n v="1315400"/>
    <n v="1337800"/>
    <x v="3"/>
    <s v="Semarang"/>
    <s v="Completed"/>
    <s v="No"/>
    <s v="No"/>
    <n v="-513200"/>
    <x v="0"/>
    <n v="1"/>
  </r>
  <r>
    <s v="TXN0382"/>
    <d v="2026-01-17T00:00:00"/>
    <n v="2026"/>
    <x v="2"/>
    <x v="1"/>
    <x v="1"/>
    <x v="8"/>
    <s v="Project"/>
    <x v="1"/>
    <s v="Shopee"/>
    <s v="Project"/>
    <n v="7348200"/>
    <n v="0"/>
    <x v="0"/>
    <s v="Bandung"/>
    <s v="Completed"/>
    <s v="No"/>
    <s v="No"/>
    <n v="6835000"/>
    <x v="0"/>
    <n v="1"/>
  </r>
  <r>
    <s v="TXN0383"/>
    <d v="2026-01-18T00:00:00"/>
    <n v="2026"/>
    <x v="2"/>
    <x v="5"/>
    <x v="0"/>
    <x v="0"/>
    <s v="House Rent"/>
    <x v="3"/>
    <s v="Alfamart"/>
    <s v="House Rent"/>
    <n v="1713500"/>
    <n v="114200"/>
    <x v="1"/>
    <s v="Denpasar"/>
    <s v="Completed"/>
    <s v="Yes"/>
    <s v="No"/>
    <n v="5121500"/>
    <x v="0"/>
    <n v="1"/>
  </r>
  <r>
    <s v="TXN0384"/>
    <d v="2026-01-19T00:00:00"/>
    <n v="2026"/>
    <x v="0"/>
    <x v="2"/>
    <x v="1"/>
    <x v="9"/>
    <s v="Monthly Salary"/>
    <x v="1"/>
    <s v="Alfamart"/>
    <s v="Monthly Salary"/>
    <n v="7617800"/>
    <n v="0"/>
    <x v="3"/>
    <s v="Palembang"/>
    <s v="Completed"/>
    <s v="No"/>
    <s v="No"/>
    <n v="12739300"/>
    <x v="0"/>
    <n v="1"/>
  </r>
  <r>
    <s v="TXN0385"/>
    <d v="2026-01-20T00:00:00"/>
    <n v="2026"/>
    <x v="0"/>
    <x v="3"/>
    <x v="0"/>
    <x v="10"/>
    <s v="Bill"/>
    <x v="5"/>
    <s v="Alfamart"/>
    <s v="Bill"/>
    <n v="211100"/>
    <n v="532400"/>
    <x v="2"/>
    <s v="Semarang"/>
    <s v="Completed"/>
    <s v="No"/>
    <s v="No"/>
    <n v="12528200"/>
    <x v="0"/>
    <n v="1"/>
  </r>
  <r>
    <s v="TXN0386"/>
    <d v="2026-01-21T00:00:00"/>
    <n v="2026"/>
    <x v="2"/>
    <x v="1"/>
    <x v="0"/>
    <x v="4"/>
    <s v="Pharmacy"/>
    <x v="5"/>
    <s v="PT Sejahtera Makmur"/>
    <s v="Pharmacy"/>
    <n v="1588800"/>
    <n v="1524300"/>
    <x v="3"/>
    <s v="Malang"/>
    <s v="Completed"/>
    <s v="Yes"/>
    <s v="No"/>
    <n v="10939400"/>
    <x v="0"/>
    <n v="1"/>
  </r>
  <r>
    <s v="TXN0387"/>
    <d v="2026-01-22T00:00:00"/>
    <n v="2026"/>
    <x v="2"/>
    <x v="5"/>
    <x v="0"/>
    <x v="7"/>
    <s v="Restaurant"/>
    <x v="3"/>
    <s v="Telkomsel"/>
    <s v="Restaurant"/>
    <n v="660200"/>
    <n v="1560700"/>
    <x v="2"/>
    <s v="Palembang"/>
    <s v="Completed"/>
    <s v="Yes"/>
    <s v="Yes"/>
    <n v="10279200"/>
    <x v="0"/>
    <n v="1"/>
  </r>
  <r>
    <s v="TXN0388"/>
    <d v="2026-01-23T00:00:00"/>
    <n v="2026"/>
    <x v="0"/>
    <x v="5"/>
    <x v="0"/>
    <x v="6"/>
    <s v="Broadband"/>
    <x v="2"/>
    <s v="PT Sejahtera Makmur"/>
    <s v="Broadband"/>
    <n v="1338000"/>
    <n v="1152100"/>
    <x v="2"/>
    <s v="Jakarta"/>
    <s v="Completed"/>
    <s v="Yes"/>
    <s v="No"/>
    <n v="8941200"/>
    <x v="0"/>
    <n v="1"/>
  </r>
  <r>
    <s v="TXN0389"/>
    <d v="2026-01-24T00:00:00"/>
    <n v="2026"/>
    <x v="1"/>
    <x v="2"/>
    <x v="0"/>
    <x v="6"/>
    <s v="Broadband"/>
    <x v="5"/>
    <s v="Pertamina"/>
    <s v="Broadband"/>
    <n v="542200"/>
    <n v="442700"/>
    <x v="2"/>
    <s v="Palembang"/>
    <s v="Completed"/>
    <s v="No"/>
    <s v="No"/>
    <n v="8399000"/>
    <x v="0"/>
    <n v="1"/>
  </r>
  <r>
    <s v="TXN0390"/>
    <d v="2026-01-25T00:00:00"/>
    <n v="2026"/>
    <x v="1"/>
    <x v="3"/>
    <x v="0"/>
    <x v="7"/>
    <s v="Restaurant"/>
    <x v="2"/>
    <s v="Apotek Kimia Farma"/>
    <s v="Restaurant"/>
    <n v="875300"/>
    <n v="1895400"/>
    <x v="2"/>
    <s v="Semarang"/>
    <s v="Completed"/>
    <s v="No"/>
    <s v="No"/>
    <n v="7523700"/>
    <x v="0"/>
    <n v="1"/>
  </r>
  <r>
    <s v="TXN0391"/>
    <d v="2026-01-26T00:00:00"/>
    <n v="2026"/>
    <x v="0"/>
    <x v="0"/>
    <x v="1"/>
    <x v="3"/>
    <s v="Bonus"/>
    <x v="0"/>
    <s v="Apotek Kimia Farma"/>
    <s v="Bonus"/>
    <n v="5034000"/>
    <n v="0"/>
    <x v="0"/>
    <s v="Surabaya"/>
    <s v="Completed"/>
    <s v="No"/>
    <s v="No"/>
    <n v="12557700"/>
    <x v="0"/>
    <n v="1"/>
  </r>
  <r>
    <s v="TXN0392"/>
    <d v="2026-01-27T00:00:00"/>
    <n v="2026"/>
    <x v="2"/>
    <x v="1"/>
    <x v="1"/>
    <x v="3"/>
    <s v="Bonus"/>
    <x v="1"/>
    <s v="Telkomsel"/>
    <s v="Bonus"/>
    <n v="7122800"/>
    <n v="0"/>
    <x v="0"/>
    <s v="Bandung"/>
    <s v="Completed"/>
    <s v="Yes"/>
    <s v="Yes"/>
    <n v="19680500"/>
    <x v="0"/>
    <n v="1"/>
  </r>
  <r>
    <s v="TXN0393"/>
    <d v="2026-01-28T00:00:00"/>
    <n v="2026"/>
    <x v="2"/>
    <x v="5"/>
    <x v="0"/>
    <x v="6"/>
    <s v="Broadband"/>
    <x v="0"/>
    <s v="Tokopedia"/>
    <s v="Broadband"/>
    <n v="743700"/>
    <n v="334300"/>
    <x v="3"/>
    <s v="Semarang"/>
    <s v="Completed"/>
    <s v="No"/>
    <s v="Yes"/>
    <n v="18936800"/>
    <x v="0"/>
    <n v="1"/>
  </r>
  <r>
    <s v="TXN0394"/>
    <d v="2026-01-29T00:00:00"/>
    <n v="2026"/>
    <x v="1"/>
    <x v="5"/>
    <x v="0"/>
    <x v="10"/>
    <s v="Bill"/>
    <x v="0"/>
    <s v="Shopee"/>
    <s v="Bill"/>
    <n v="1506700"/>
    <n v="1715200"/>
    <x v="1"/>
    <s v="Surabaya"/>
    <s v="Completed"/>
    <s v="No"/>
    <s v="No"/>
    <n v="17430100"/>
    <x v="0"/>
    <n v="1"/>
  </r>
  <r>
    <s v="TXN0395"/>
    <d v="2026-01-30T00:00:00"/>
    <n v="2026"/>
    <x v="2"/>
    <x v="1"/>
    <x v="0"/>
    <x v="11"/>
    <s v="Supermarket"/>
    <x v="3"/>
    <s v="Apotek Kimia Farma"/>
    <s v="Supermarket"/>
    <n v="1110000"/>
    <n v="790400"/>
    <x v="0"/>
    <s v="Surabaya"/>
    <s v="Completed"/>
    <s v="Yes"/>
    <s v="No"/>
    <n v="16320100"/>
    <x v="0"/>
    <n v="1"/>
  </r>
  <r>
    <s v="TXN0396"/>
    <d v="2026-01-31T00:00:00"/>
    <n v="2026"/>
    <x v="1"/>
    <x v="4"/>
    <x v="1"/>
    <x v="9"/>
    <s v="Monthly Salary"/>
    <x v="5"/>
    <s v="Shopee"/>
    <s v="Monthly Salary"/>
    <n v="4638800"/>
    <n v="0"/>
    <x v="0"/>
    <s v="Palembang"/>
    <s v="Completed"/>
    <s v="No"/>
    <s v="No"/>
    <n v="20958900"/>
    <x v="0"/>
    <n v="1"/>
  </r>
  <r>
    <s v="TXN0397"/>
    <d v="2026-02-01T00:00:00"/>
    <n v="2026"/>
    <x v="1"/>
    <x v="4"/>
    <x v="0"/>
    <x v="5"/>
    <s v="Clothing"/>
    <x v="4"/>
    <s v="Apotek Kimia Farma"/>
    <s v="Clothing"/>
    <n v="157400"/>
    <n v="1556800"/>
    <x v="3"/>
    <s v="Bandung"/>
    <s v="Completed"/>
    <s v="Yes"/>
    <s v="No"/>
    <n v="20801500"/>
    <x v="1"/>
    <n v="2"/>
  </r>
  <r>
    <s v="TXN0398"/>
    <d v="2026-02-02T00:00:00"/>
    <n v="2026"/>
    <x v="0"/>
    <x v="3"/>
    <x v="1"/>
    <x v="9"/>
    <s v="Monthly Salary"/>
    <x v="5"/>
    <s v="Alfamart"/>
    <s v="Monthly Salary"/>
    <n v="595600"/>
    <n v="0"/>
    <x v="0"/>
    <s v="Semarang"/>
    <s v="Completed"/>
    <s v="No"/>
    <s v="No"/>
    <n v="21397100"/>
    <x v="1"/>
    <n v="2"/>
  </r>
  <r>
    <s v="TXN0399"/>
    <d v="2026-02-03T00:00:00"/>
    <n v="2026"/>
    <x v="1"/>
    <x v="3"/>
    <x v="0"/>
    <x v="6"/>
    <s v="Broadband"/>
    <x v="0"/>
    <s v="Bibit"/>
    <s v="Broadband"/>
    <n v="818000"/>
    <n v="1405200"/>
    <x v="3"/>
    <s v="Semarang"/>
    <s v="Completed"/>
    <s v="Yes"/>
    <s v="No"/>
    <n v="20579100"/>
    <x v="1"/>
    <n v="2"/>
  </r>
  <r>
    <s v="TXN0400"/>
    <d v="2026-02-04T00:00:00"/>
    <n v="2026"/>
    <x v="0"/>
    <x v="4"/>
    <x v="0"/>
    <x v="11"/>
    <s v="Supermarket"/>
    <x v="2"/>
    <s v="Tokopedia"/>
    <s v="Supermarket"/>
    <n v="1165700"/>
    <n v="1491700"/>
    <x v="2"/>
    <s v="Malang"/>
    <s v="Completed"/>
    <s v="No"/>
    <s v="No"/>
    <n v="19413400"/>
    <x v="1"/>
    <n v="2"/>
  </r>
  <r>
    <s v="TXN0404"/>
    <d v="2026-02-08T00:00:00"/>
    <n v="2026"/>
    <x v="1"/>
    <x v="5"/>
    <x v="1"/>
    <x v="8"/>
    <s v="Project"/>
    <x v="0"/>
    <s v="Shopee"/>
    <s v="Project"/>
    <n v="1806600"/>
    <n v="0"/>
    <x v="2"/>
    <s v="Medan"/>
    <s v="Completed"/>
    <s v="Yes"/>
    <s v="No"/>
    <n v="21220000"/>
    <x v="1"/>
    <n v="2"/>
  </r>
  <r>
    <s v="TXN0405"/>
    <d v="2026-02-09T00:00:00"/>
    <n v="2026"/>
    <x v="1"/>
    <x v="3"/>
    <x v="1"/>
    <x v="8"/>
    <s v="Project"/>
    <x v="0"/>
    <s v="Shopee"/>
    <s v="Project"/>
    <n v="1309600"/>
    <n v="0"/>
    <x v="1"/>
    <s v="Makassar"/>
    <s v="Completed"/>
    <s v="No"/>
    <s v="No"/>
    <n v="22529600"/>
    <x v="1"/>
    <n v="2"/>
  </r>
  <r>
    <s v="TXN0406"/>
    <d v="2026-02-10T00:00:00"/>
    <n v="2026"/>
    <x v="2"/>
    <x v="1"/>
    <x v="0"/>
    <x v="4"/>
    <s v="Pharmacy"/>
    <x v="5"/>
    <s v="Shopee"/>
    <s v="Pharmacy"/>
    <n v="956800"/>
    <n v="1865200"/>
    <x v="0"/>
    <s v="Medan"/>
    <s v="Completed"/>
    <s v="No"/>
    <s v="No"/>
    <n v="21572800"/>
    <x v="1"/>
    <n v="2"/>
  </r>
  <r>
    <s v="TXN0407"/>
    <d v="2026-02-11T00:00:00"/>
    <n v="2026"/>
    <x v="2"/>
    <x v="2"/>
    <x v="0"/>
    <x v="0"/>
    <s v="House Rent"/>
    <x v="1"/>
    <s v="Restoran Sederhana"/>
    <s v="House Rent"/>
    <n v="568100"/>
    <n v="578100"/>
    <x v="0"/>
    <s v="Semarang"/>
    <s v="Completed"/>
    <s v="No"/>
    <s v="No"/>
    <n v="21004700"/>
    <x v="1"/>
    <n v="2"/>
  </r>
  <r>
    <s v="TXN0408"/>
    <d v="2026-02-12T00:00:00"/>
    <n v="2026"/>
    <x v="1"/>
    <x v="1"/>
    <x v="0"/>
    <x v="4"/>
    <s v="Pharmacy"/>
    <x v="4"/>
    <s v="Apotek Kimia Farma"/>
    <s v="Pharmacy"/>
    <n v="1200700"/>
    <n v="678100"/>
    <x v="0"/>
    <s v="Palembang"/>
    <s v="Completed"/>
    <s v="No"/>
    <s v="No"/>
    <n v="19804000"/>
    <x v="1"/>
    <n v="2"/>
  </r>
  <r>
    <s v="TXN0409"/>
    <d v="2026-02-13T00:00:00"/>
    <n v="2026"/>
    <x v="0"/>
    <x v="1"/>
    <x v="0"/>
    <x v="6"/>
    <s v="Broadband"/>
    <x v="2"/>
    <s v="Shopee"/>
    <s v="Broadband"/>
    <n v="1496900"/>
    <n v="957200"/>
    <x v="2"/>
    <s v="Denpasar"/>
    <s v="Completed"/>
    <s v="No"/>
    <s v="Yes"/>
    <n v="18307100"/>
    <x v="1"/>
    <n v="2"/>
  </r>
  <r>
    <s v="TXN0410"/>
    <d v="2026-02-14T00:00:00"/>
    <n v="2026"/>
    <x v="2"/>
    <x v="4"/>
    <x v="0"/>
    <x v="2"/>
    <s v="Petrol"/>
    <x v="4"/>
    <s v="Apotek Kimia Farma"/>
    <s v="Petrol"/>
    <n v="1756500"/>
    <n v="1508700"/>
    <x v="2"/>
    <s v="Semarang"/>
    <s v="Completed"/>
    <s v="No"/>
    <s v="No"/>
    <n v="16550600"/>
    <x v="1"/>
    <n v="2"/>
  </r>
  <r>
    <s v="TXN0411"/>
    <d v="2026-02-15T00:00:00"/>
    <n v="2026"/>
    <x v="0"/>
    <x v="0"/>
    <x v="0"/>
    <x v="6"/>
    <s v="Broadband"/>
    <x v="0"/>
    <s v="Restoran Sederhana"/>
    <s v="Broadband"/>
    <n v="1784100"/>
    <n v="1700200"/>
    <x v="2"/>
    <s v="Jakarta"/>
    <s v="Completed"/>
    <s v="Yes"/>
    <s v="No"/>
    <n v="14766500"/>
    <x v="1"/>
    <n v="2"/>
  </r>
  <r>
    <s v="TXN0412"/>
    <d v="2026-02-16T00:00:00"/>
    <n v="2026"/>
    <x v="0"/>
    <x v="1"/>
    <x v="0"/>
    <x v="10"/>
    <s v="Bill"/>
    <x v="0"/>
    <s v="Apotek Kimia Farma"/>
    <s v="Bill"/>
    <n v="1530700"/>
    <n v="508400"/>
    <x v="2"/>
    <s v="Surabaya"/>
    <s v="Completed"/>
    <s v="No"/>
    <s v="No"/>
    <n v="13235800"/>
    <x v="1"/>
    <n v="2"/>
  </r>
  <r>
    <s v="TXN0413"/>
    <d v="2026-02-17T00:00:00"/>
    <n v="2026"/>
    <x v="1"/>
    <x v="0"/>
    <x v="1"/>
    <x v="8"/>
    <s v="Project"/>
    <x v="0"/>
    <s v="Shopee"/>
    <s v="Project"/>
    <n v="3060400"/>
    <n v="0"/>
    <x v="3"/>
    <s v="Yogyakarta"/>
    <s v="Completed"/>
    <s v="No"/>
    <s v="No"/>
    <n v="16296200"/>
    <x v="1"/>
    <n v="2"/>
  </r>
  <r>
    <s v="TXN0415"/>
    <d v="2026-02-19T00:00:00"/>
    <n v="2026"/>
    <x v="0"/>
    <x v="5"/>
    <x v="0"/>
    <x v="11"/>
    <s v="Supermarket"/>
    <x v="0"/>
    <s v="PT Sejahtera Makmur"/>
    <s v="Supermarket"/>
    <n v="132000"/>
    <n v="573700"/>
    <x v="0"/>
    <s v="Semarang"/>
    <s v="Completed"/>
    <s v="No"/>
    <s v="No"/>
    <n v="16164200"/>
    <x v="1"/>
    <n v="2"/>
  </r>
  <r>
    <s v="TXN0417"/>
    <d v="2026-02-21T00:00:00"/>
    <n v="2026"/>
    <x v="2"/>
    <x v="1"/>
    <x v="1"/>
    <x v="1"/>
    <s v="Interest"/>
    <x v="2"/>
    <s v="Pertamina"/>
    <s v="Interest"/>
    <n v="2248900"/>
    <n v="0"/>
    <x v="0"/>
    <s v="Jakarta"/>
    <s v="Completed"/>
    <s v="No"/>
    <s v="No"/>
    <n v="18413100"/>
    <x v="1"/>
    <n v="2"/>
  </r>
  <r>
    <s v="TXN0418"/>
    <d v="2026-02-22T00:00:00"/>
    <n v="2026"/>
    <x v="1"/>
    <x v="5"/>
    <x v="0"/>
    <x v="7"/>
    <s v="Restaurant"/>
    <x v="3"/>
    <s v="Telkomsel"/>
    <s v="Restaurant"/>
    <n v="1667700"/>
    <n v="754900"/>
    <x v="1"/>
    <s v="Jakarta"/>
    <s v="Completed"/>
    <s v="Yes"/>
    <s v="No"/>
    <n v="16745400"/>
    <x v="1"/>
    <n v="2"/>
  </r>
  <r>
    <s v="TXN0419"/>
    <d v="2026-02-23T00:00:00"/>
    <n v="2026"/>
    <x v="2"/>
    <x v="0"/>
    <x v="0"/>
    <x v="2"/>
    <s v="Petrol"/>
    <x v="1"/>
    <s v="Pertamina"/>
    <s v="Petrol"/>
    <n v="461600"/>
    <n v="1165000"/>
    <x v="3"/>
    <s v="Makassar"/>
    <s v="Completed"/>
    <s v="No"/>
    <s v="No"/>
    <n v="16283800"/>
    <x v="1"/>
    <n v="2"/>
  </r>
  <r>
    <s v="TXN0421"/>
    <d v="2026-02-25T00:00:00"/>
    <n v="2026"/>
    <x v="1"/>
    <x v="0"/>
    <x v="0"/>
    <x v="11"/>
    <s v="Supermarket"/>
    <x v="1"/>
    <s v="Apotek Kimia Farma"/>
    <s v="Supermarket"/>
    <n v="392900"/>
    <n v="835900"/>
    <x v="3"/>
    <s v="Bandung"/>
    <s v="Completed"/>
    <s v="Yes"/>
    <s v="No"/>
    <n v="15890900"/>
    <x v="1"/>
    <n v="2"/>
  </r>
  <r>
    <s v="TXN0422"/>
    <d v="2026-02-26T00:00:00"/>
    <n v="2026"/>
    <x v="0"/>
    <x v="5"/>
    <x v="0"/>
    <x v="4"/>
    <s v="Pharmacy"/>
    <x v="1"/>
    <s v="PT Sejahtera Makmur"/>
    <s v="Pharmacy"/>
    <n v="800600"/>
    <n v="176800"/>
    <x v="3"/>
    <s v="Semarang"/>
    <s v="Completed"/>
    <s v="Yes"/>
    <s v="No"/>
    <n v="15090300"/>
    <x v="1"/>
    <n v="2"/>
  </r>
  <r>
    <s v="TXN0423"/>
    <d v="2026-02-27T00:00:00"/>
    <n v="2026"/>
    <x v="2"/>
    <x v="2"/>
    <x v="0"/>
    <x v="5"/>
    <s v="Clothing"/>
    <x v="4"/>
    <s v="Tokopedia"/>
    <s v="Clothing"/>
    <n v="95700"/>
    <n v="1016100"/>
    <x v="3"/>
    <s v="Bandung"/>
    <s v="Completed"/>
    <s v="No"/>
    <s v="No"/>
    <n v="14994600"/>
    <x v="1"/>
    <n v="2"/>
  </r>
  <r>
    <s v="TXN0424"/>
    <d v="2026-02-28T00:00:00"/>
    <n v="2026"/>
    <x v="2"/>
    <x v="1"/>
    <x v="0"/>
    <x v="4"/>
    <s v="Pharmacy"/>
    <x v="4"/>
    <s v="Shopee"/>
    <s v="Pharmacy"/>
    <n v="961900"/>
    <n v="1793600"/>
    <x v="1"/>
    <s v="Denpasar"/>
    <s v="Completed"/>
    <s v="Yes"/>
    <s v="No"/>
    <n v="14032700"/>
    <x v="1"/>
    <n v="2"/>
  </r>
  <r>
    <s v="TXN0425"/>
    <d v="2026-03-01T00:00:00"/>
    <n v="2026"/>
    <x v="1"/>
    <x v="4"/>
    <x v="1"/>
    <x v="8"/>
    <s v="Project"/>
    <x v="5"/>
    <s v="Alfamart"/>
    <s v="Project"/>
    <n v="4629400"/>
    <n v="0"/>
    <x v="2"/>
    <s v="Palembang"/>
    <s v="Completed"/>
    <s v="No"/>
    <s v="No"/>
    <n v="18662100"/>
    <x v="2"/>
    <n v="3"/>
  </r>
  <r>
    <s v="TXN0426"/>
    <d v="2026-03-02T00:00:00"/>
    <n v="2026"/>
    <x v="0"/>
    <x v="3"/>
    <x v="0"/>
    <x v="6"/>
    <s v="Broadband"/>
    <x v="0"/>
    <s v="Telkomsel"/>
    <s v="Broadband"/>
    <n v="1242800"/>
    <n v="927800"/>
    <x v="3"/>
    <s v="Yogyakarta"/>
    <s v="Completed"/>
    <s v="No"/>
    <s v="No"/>
    <n v="17419300"/>
    <x v="2"/>
    <n v="3"/>
  </r>
  <r>
    <s v="TXN0427"/>
    <d v="2026-03-03T00:00:00"/>
    <n v="2026"/>
    <x v="0"/>
    <x v="0"/>
    <x v="0"/>
    <x v="4"/>
    <s v="Pharmacy"/>
    <x v="0"/>
    <s v="Alfamart"/>
    <s v="Pharmacy"/>
    <n v="602100"/>
    <n v="1810100"/>
    <x v="1"/>
    <s v="Palembang"/>
    <s v="Completed"/>
    <s v="Yes"/>
    <s v="No"/>
    <n v="16817200"/>
    <x v="2"/>
    <n v="3"/>
  </r>
  <r>
    <s v="TXN0428"/>
    <d v="2026-03-04T00:00:00"/>
    <n v="2026"/>
    <x v="2"/>
    <x v="2"/>
    <x v="0"/>
    <x v="10"/>
    <s v="Bill"/>
    <x v="3"/>
    <s v="Telkomsel"/>
    <s v="Bill"/>
    <n v="1123100"/>
    <n v="610600"/>
    <x v="2"/>
    <s v="Jakarta"/>
    <s v="Completed"/>
    <s v="No"/>
    <s v="No"/>
    <n v="15694100"/>
    <x v="2"/>
    <n v="3"/>
  </r>
  <r>
    <s v="TXN0429"/>
    <d v="2026-03-05T00:00:00"/>
    <n v="2026"/>
    <x v="0"/>
    <x v="3"/>
    <x v="0"/>
    <x v="11"/>
    <s v="Supermarket"/>
    <x v="4"/>
    <s v="Alfamart"/>
    <s v="Supermarket"/>
    <n v="205300"/>
    <n v="205000"/>
    <x v="2"/>
    <s v="Surabaya"/>
    <s v="Completed"/>
    <s v="No"/>
    <s v="No"/>
    <n v="15488800"/>
    <x v="2"/>
    <n v="3"/>
  </r>
  <r>
    <s v="TXN0430"/>
    <d v="2026-03-06T00:00:00"/>
    <n v="2026"/>
    <x v="1"/>
    <x v="5"/>
    <x v="0"/>
    <x v="2"/>
    <s v="Petrol"/>
    <x v="3"/>
    <s v="Tokopedia"/>
    <s v="Petrol"/>
    <n v="859400"/>
    <n v="518200"/>
    <x v="0"/>
    <s v="Surabaya"/>
    <s v="Completed"/>
    <s v="No"/>
    <s v="Yes"/>
    <n v="14629400"/>
    <x v="2"/>
    <n v="3"/>
  </r>
  <r>
    <s v="TXN0432"/>
    <d v="2026-03-08T00:00:00"/>
    <n v="2026"/>
    <x v="1"/>
    <x v="5"/>
    <x v="1"/>
    <x v="8"/>
    <s v="Project"/>
    <x v="3"/>
    <s v="Restoran Sederhana"/>
    <s v="Project"/>
    <n v="7537700"/>
    <n v="0"/>
    <x v="3"/>
    <s v="Bandung"/>
    <s v="Completed"/>
    <s v="No"/>
    <s v="Yes"/>
    <n v="22167100"/>
    <x v="2"/>
    <n v="3"/>
  </r>
  <r>
    <s v="TXN0433"/>
    <d v="2026-03-09T00:00:00"/>
    <n v="2026"/>
    <x v="0"/>
    <x v="2"/>
    <x v="0"/>
    <x v="7"/>
    <s v="Restaurant"/>
    <x v="4"/>
    <s v="Shopee"/>
    <s v="Restaurant"/>
    <n v="186400"/>
    <n v="1564800"/>
    <x v="1"/>
    <s v="Palembang"/>
    <s v="Completed"/>
    <s v="No"/>
    <s v="No"/>
    <n v="21980700"/>
    <x v="2"/>
    <n v="3"/>
  </r>
  <r>
    <s v="TXN0434"/>
    <d v="2026-03-10T00:00:00"/>
    <n v="2026"/>
    <x v="2"/>
    <x v="5"/>
    <x v="0"/>
    <x v="6"/>
    <s v="Broadband"/>
    <x v="3"/>
    <s v="Telkomsel"/>
    <s v="Broadband"/>
    <n v="1456900"/>
    <n v="263900"/>
    <x v="3"/>
    <s v="Jakarta"/>
    <s v="Completed"/>
    <s v="Yes"/>
    <s v="No"/>
    <n v="20523800"/>
    <x v="2"/>
    <n v="3"/>
  </r>
  <r>
    <s v="TXN0435"/>
    <d v="2026-03-11T00:00:00"/>
    <n v="2026"/>
    <x v="0"/>
    <x v="1"/>
    <x v="1"/>
    <x v="8"/>
    <s v="Project"/>
    <x v="5"/>
    <s v="Restoran Sederhana"/>
    <s v="Project"/>
    <n v="3986300"/>
    <n v="0"/>
    <x v="3"/>
    <s v="Makassar"/>
    <s v="Completed"/>
    <s v="No"/>
    <s v="No"/>
    <n v="24510100"/>
    <x v="2"/>
    <n v="3"/>
  </r>
  <r>
    <s v="TXN0436"/>
    <d v="2026-03-12T00:00:00"/>
    <n v="2026"/>
    <x v="2"/>
    <x v="5"/>
    <x v="1"/>
    <x v="8"/>
    <s v="Project"/>
    <x v="1"/>
    <s v="Tokopedia"/>
    <s v="Project"/>
    <n v="6763900"/>
    <n v="0"/>
    <x v="3"/>
    <s v="Malang"/>
    <s v="Completed"/>
    <s v="Yes"/>
    <s v="No"/>
    <n v="31274000"/>
    <x v="2"/>
    <n v="3"/>
  </r>
  <r>
    <s v="TXN0437"/>
    <d v="2026-03-13T00:00:00"/>
    <n v="2026"/>
    <x v="0"/>
    <x v="1"/>
    <x v="1"/>
    <x v="9"/>
    <s v="Monthly Salary"/>
    <x v="2"/>
    <s v="Pertamina"/>
    <s v="Monthly Salary"/>
    <n v="6882400"/>
    <n v="0"/>
    <x v="0"/>
    <s v="Palembang"/>
    <s v="Completed"/>
    <s v="No"/>
    <s v="No"/>
    <n v="38156400"/>
    <x v="2"/>
    <n v="3"/>
  </r>
  <r>
    <s v="TXN0438"/>
    <d v="2026-03-14T00:00:00"/>
    <n v="2026"/>
    <x v="1"/>
    <x v="5"/>
    <x v="0"/>
    <x v="6"/>
    <s v="Broadband"/>
    <x v="0"/>
    <s v="Bibit"/>
    <s v="Broadband"/>
    <n v="39900"/>
    <n v="1222700"/>
    <x v="1"/>
    <s v="Bandung"/>
    <s v="Completed"/>
    <s v="No"/>
    <s v="No"/>
    <n v="38116500"/>
    <x v="2"/>
    <n v="3"/>
  </r>
  <r>
    <s v="TXN0439"/>
    <d v="2026-03-15T00:00:00"/>
    <n v="2026"/>
    <x v="2"/>
    <x v="5"/>
    <x v="0"/>
    <x v="2"/>
    <s v="Petrol"/>
    <x v="1"/>
    <s v="PT Sejahtera Makmur"/>
    <s v="Petrol"/>
    <n v="267200"/>
    <n v="1997200"/>
    <x v="0"/>
    <s v="Yogyakarta"/>
    <s v="Completed"/>
    <s v="Yes"/>
    <s v="Yes"/>
    <n v="37849300"/>
    <x v="2"/>
    <n v="3"/>
  </r>
  <r>
    <s v="TXN0440"/>
    <d v="2026-03-16T00:00:00"/>
    <n v="2026"/>
    <x v="0"/>
    <x v="4"/>
    <x v="0"/>
    <x v="7"/>
    <s v="Restaurant"/>
    <x v="5"/>
    <s v="Restoran Sederhana"/>
    <s v="Restaurant"/>
    <n v="1116900"/>
    <n v="708700"/>
    <x v="3"/>
    <s v="Bandung"/>
    <s v="Completed"/>
    <s v="Yes"/>
    <s v="No"/>
    <n v="36732400"/>
    <x v="2"/>
    <n v="3"/>
  </r>
  <r>
    <s v="TXN0441"/>
    <d v="2026-03-17T00:00:00"/>
    <n v="2026"/>
    <x v="0"/>
    <x v="2"/>
    <x v="0"/>
    <x v="2"/>
    <s v="Petrol"/>
    <x v="0"/>
    <s v="Shopee"/>
    <s v="Petrol"/>
    <n v="1817100"/>
    <n v="1433300"/>
    <x v="0"/>
    <s v="Jakarta"/>
    <s v="Completed"/>
    <s v="No"/>
    <s v="No"/>
    <n v="34915300"/>
    <x v="2"/>
    <n v="3"/>
  </r>
  <r>
    <s v="TXN0442"/>
    <d v="2026-03-18T00:00:00"/>
    <n v="2026"/>
    <x v="1"/>
    <x v="1"/>
    <x v="0"/>
    <x v="7"/>
    <s v="Restaurant"/>
    <x v="2"/>
    <s v="PT Sejahtera Makmur"/>
    <s v="Restaurant"/>
    <n v="1391400"/>
    <n v="1956400"/>
    <x v="2"/>
    <s v="Semarang"/>
    <s v="Completed"/>
    <s v="No"/>
    <s v="No"/>
    <n v="33523900"/>
    <x v="2"/>
    <n v="3"/>
  </r>
  <r>
    <s v="TXN0443"/>
    <d v="2026-03-19T00:00:00"/>
    <n v="2026"/>
    <x v="2"/>
    <x v="5"/>
    <x v="1"/>
    <x v="3"/>
    <s v="Bonus"/>
    <x v="0"/>
    <s v="Alfamart"/>
    <s v="Bonus"/>
    <n v="5946700"/>
    <n v="0"/>
    <x v="0"/>
    <s v="Makassar"/>
    <s v="Completed"/>
    <s v="Yes"/>
    <s v="No"/>
    <n v="39470600"/>
    <x v="2"/>
    <n v="3"/>
  </r>
  <r>
    <s v="TXN0444"/>
    <d v="2026-03-20T00:00:00"/>
    <n v="2026"/>
    <x v="1"/>
    <x v="4"/>
    <x v="1"/>
    <x v="8"/>
    <s v="Project"/>
    <x v="3"/>
    <s v="Alfamart"/>
    <s v="Project"/>
    <n v="6720700"/>
    <n v="0"/>
    <x v="2"/>
    <s v="Jakarta"/>
    <s v="Completed"/>
    <s v="No"/>
    <s v="Yes"/>
    <n v="46191300"/>
    <x v="2"/>
    <n v="3"/>
  </r>
  <r>
    <s v="TXN0445"/>
    <d v="2026-03-21T00:00:00"/>
    <n v="2026"/>
    <x v="0"/>
    <x v="1"/>
    <x v="0"/>
    <x v="6"/>
    <s v="Broadband"/>
    <x v="2"/>
    <s v="Shopee"/>
    <s v="Broadband"/>
    <n v="1350100"/>
    <n v="1485100"/>
    <x v="1"/>
    <s v="Makassar"/>
    <s v="Completed"/>
    <s v="No"/>
    <s v="No"/>
    <n v="44841200"/>
    <x v="2"/>
    <n v="3"/>
  </r>
  <r>
    <s v="TXN0446"/>
    <d v="2026-03-22T00:00:00"/>
    <n v="2026"/>
    <x v="2"/>
    <x v="1"/>
    <x v="0"/>
    <x v="7"/>
    <s v="Restaurant"/>
    <x v="4"/>
    <s v="Bibit"/>
    <s v="Restaurant"/>
    <n v="107700"/>
    <n v="1119100"/>
    <x v="0"/>
    <s v="Medan"/>
    <s v="Completed"/>
    <s v="No"/>
    <s v="No"/>
    <n v="44733500"/>
    <x v="2"/>
    <n v="3"/>
  </r>
  <r>
    <s v="TXN0447"/>
    <d v="2026-03-23T00:00:00"/>
    <n v="2026"/>
    <x v="0"/>
    <x v="1"/>
    <x v="0"/>
    <x v="7"/>
    <s v="Restaurant"/>
    <x v="5"/>
    <s v="Bibit"/>
    <s v="Restaurant"/>
    <n v="1966500"/>
    <n v="1435600"/>
    <x v="0"/>
    <s v="Medan"/>
    <s v="Completed"/>
    <s v="Yes"/>
    <s v="No"/>
    <n v="42767000"/>
    <x v="2"/>
    <n v="3"/>
  </r>
  <r>
    <s v="TXN0450"/>
    <d v="2026-03-26T00:00:00"/>
    <n v="2026"/>
    <x v="1"/>
    <x v="2"/>
    <x v="0"/>
    <x v="7"/>
    <s v="Restaurant"/>
    <x v="1"/>
    <s v="Bibit"/>
    <s v="Restaurant"/>
    <n v="229500"/>
    <n v="1753000"/>
    <x v="0"/>
    <s v="Surabaya"/>
    <s v="Completed"/>
    <s v="No"/>
    <s v="No"/>
    <n v="42537500"/>
    <x v="2"/>
    <n v="3"/>
  </r>
  <r>
    <s v="TXN0451"/>
    <d v="2026-03-27T00:00:00"/>
    <n v="2026"/>
    <x v="1"/>
    <x v="5"/>
    <x v="0"/>
    <x v="7"/>
    <s v="Restaurant"/>
    <x v="3"/>
    <s v="PT Sejahtera Makmur"/>
    <s v="Restaurant"/>
    <n v="1548100"/>
    <n v="404600"/>
    <x v="2"/>
    <s v="Makassar"/>
    <s v="Completed"/>
    <s v="Yes"/>
    <s v="No"/>
    <n v="40989400"/>
    <x v="2"/>
    <n v="3"/>
  </r>
  <r>
    <s v="TXN0452"/>
    <d v="2026-03-28T00:00:00"/>
    <n v="2026"/>
    <x v="2"/>
    <x v="3"/>
    <x v="0"/>
    <x v="2"/>
    <s v="Petrol"/>
    <x v="1"/>
    <s v="Telkomsel"/>
    <s v="Petrol"/>
    <n v="760700"/>
    <n v="548100"/>
    <x v="2"/>
    <s v="Palembang"/>
    <s v="Completed"/>
    <s v="Yes"/>
    <s v="No"/>
    <n v="40228700"/>
    <x v="2"/>
    <n v="3"/>
  </r>
  <r>
    <s v="TXN0453"/>
    <d v="2026-03-29T00:00:00"/>
    <n v="2026"/>
    <x v="0"/>
    <x v="4"/>
    <x v="1"/>
    <x v="3"/>
    <s v="Bonus"/>
    <x v="5"/>
    <s v="Telkomsel"/>
    <s v="Bonus"/>
    <n v="5344700"/>
    <n v="0"/>
    <x v="2"/>
    <s v="Yogyakarta"/>
    <s v="Completed"/>
    <s v="Yes"/>
    <s v="No"/>
    <n v="45573400"/>
    <x v="2"/>
    <n v="3"/>
  </r>
  <r>
    <s v="TXN0454"/>
    <d v="2026-03-30T00:00:00"/>
    <n v="2026"/>
    <x v="0"/>
    <x v="5"/>
    <x v="0"/>
    <x v="6"/>
    <s v="Broadband"/>
    <x v="5"/>
    <s v="Pertamina"/>
    <s v="Broadband"/>
    <n v="399100"/>
    <n v="586200"/>
    <x v="2"/>
    <s v="Malang"/>
    <s v="Completed"/>
    <s v="Yes"/>
    <s v="No"/>
    <n v="45174300"/>
    <x v="2"/>
    <n v="3"/>
  </r>
  <r>
    <s v="TXN0455"/>
    <d v="2026-03-31T00:00:00"/>
    <n v="2026"/>
    <x v="1"/>
    <x v="4"/>
    <x v="0"/>
    <x v="0"/>
    <s v="House Rent"/>
    <x v="4"/>
    <s v="Alfamart"/>
    <s v="House Rent"/>
    <n v="1494100"/>
    <n v="1876900"/>
    <x v="3"/>
    <s v="Bandung"/>
    <s v="Completed"/>
    <s v="No"/>
    <s v="No"/>
    <n v="43680200"/>
    <x v="2"/>
    <n v="3"/>
  </r>
  <r>
    <s v="TXN0456"/>
    <d v="2026-04-01T00:00:00"/>
    <n v="2026"/>
    <x v="0"/>
    <x v="0"/>
    <x v="0"/>
    <x v="5"/>
    <s v="Clothing"/>
    <x v="4"/>
    <s v="Bibit"/>
    <s v="Clothing"/>
    <n v="1706100"/>
    <n v="1054000"/>
    <x v="0"/>
    <s v="Medan"/>
    <s v="Completed"/>
    <s v="No"/>
    <s v="No"/>
    <n v="41974100"/>
    <x v="3"/>
    <n v="4"/>
  </r>
  <r>
    <s v="TXN0457"/>
    <d v="2026-04-02T00:00:00"/>
    <n v="2026"/>
    <x v="0"/>
    <x v="3"/>
    <x v="0"/>
    <x v="2"/>
    <s v="Petrol"/>
    <x v="2"/>
    <s v="PT Sejahtera Makmur"/>
    <s v="Petrol"/>
    <n v="1102700"/>
    <n v="223800"/>
    <x v="2"/>
    <s v="Bandung"/>
    <s v="Completed"/>
    <s v="No"/>
    <s v="No"/>
    <n v="40871400"/>
    <x v="3"/>
    <n v="4"/>
  </r>
  <r>
    <s v="TXN0458"/>
    <d v="2026-04-03T00:00:00"/>
    <n v="2026"/>
    <x v="1"/>
    <x v="5"/>
    <x v="1"/>
    <x v="1"/>
    <s v="Interest"/>
    <x v="2"/>
    <s v="Apotek Kimia Farma"/>
    <s v="Interest"/>
    <n v="7994400"/>
    <n v="0"/>
    <x v="0"/>
    <s v="Bandung"/>
    <s v="Completed"/>
    <s v="Yes"/>
    <s v="No"/>
    <n v="48865800"/>
    <x v="3"/>
    <n v="4"/>
  </r>
  <r>
    <s v="TXN0459"/>
    <d v="2026-04-04T00:00:00"/>
    <n v="2026"/>
    <x v="2"/>
    <x v="5"/>
    <x v="0"/>
    <x v="7"/>
    <s v="Restaurant"/>
    <x v="4"/>
    <s v="Pertamina"/>
    <s v="Restaurant"/>
    <n v="47300"/>
    <n v="1790500"/>
    <x v="1"/>
    <s v="Yogyakarta"/>
    <s v="Completed"/>
    <s v="No"/>
    <s v="No"/>
    <n v="48818500"/>
    <x v="3"/>
    <n v="4"/>
  </r>
  <r>
    <s v="TXN0460"/>
    <d v="2026-04-05T00:00:00"/>
    <n v="2026"/>
    <x v="2"/>
    <x v="5"/>
    <x v="0"/>
    <x v="7"/>
    <s v="Restaurant"/>
    <x v="0"/>
    <s v="Restoran Sederhana"/>
    <s v="Restaurant"/>
    <n v="545100"/>
    <n v="309800"/>
    <x v="1"/>
    <s v="Jakarta"/>
    <s v="Completed"/>
    <s v="No"/>
    <s v="No"/>
    <n v="48273400"/>
    <x v="3"/>
    <n v="4"/>
  </r>
  <r>
    <s v="TXN0461"/>
    <d v="2026-04-06T00:00:00"/>
    <n v="2026"/>
    <x v="0"/>
    <x v="2"/>
    <x v="0"/>
    <x v="5"/>
    <s v="Clothing"/>
    <x v="2"/>
    <s v="Pertamina"/>
    <s v="Clothing"/>
    <n v="1342000"/>
    <n v="1530100"/>
    <x v="0"/>
    <s v="Bandung"/>
    <s v="Completed"/>
    <s v="No"/>
    <s v="No"/>
    <n v="46931400"/>
    <x v="3"/>
    <n v="4"/>
  </r>
  <r>
    <s v="TXN0462"/>
    <d v="2026-04-07T00:00:00"/>
    <n v="2026"/>
    <x v="1"/>
    <x v="4"/>
    <x v="0"/>
    <x v="11"/>
    <s v="Supermarket"/>
    <x v="0"/>
    <s v="Telkomsel"/>
    <s v="Supermarket"/>
    <n v="287400"/>
    <n v="1919200"/>
    <x v="1"/>
    <s v="Makassar"/>
    <s v="Completed"/>
    <s v="Yes"/>
    <s v="No"/>
    <n v="46644000"/>
    <x v="3"/>
    <n v="4"/>
  </r>
  <r>
    <s v="TXN0463"/>
    <d v="2026-04-08T00:00:00"/>
    <n v="2026"/>
    <x v="0"/>
    <x v="5"/>
    <x v="0"/>
    <x v="10"/>
    <s v="Bill"/>
    <x v="5"/>
    <s v="Shopee"/>
    <s v="Bill"/>
    <n v="1381100"/>
    <n v="1494100"/>
    <x v="2"/>
    <s v="Yogyakarta"/>
    <s v="Completed"/>
    <s v="No"/>
    <s v="No"/>
    <n v="45262900"/>
    <x v="3"/>
    <n v="4"/>
  </r>
  <r>
    <s v="TXN0464"/>
    <d v="2026-04-09T00:00:00"/>
    <n v="2026"/>
    <x v="2"/>
    <x v="4"/>
    <x v="1"/>
    <x v="9"/>
    <s v="Monthly Salary"/>
    <x v="5"/>
    <s v="Apotek Kimia Farma"/>
    <s v="Monthly Salary"/>
    <n v="1591100"/>
    <n v="0"/>
    <x v="3"/>
    <s v="Medan"/>
    <s v="Completed"/>
    <s v="Yes"/>
    <s v="No"/>
    <n v="46854000"/>
    <x v="3"/>
    <n v="4"/>
  </r>
  <r>
    <s v="TXN0465"/>
    <d v="2026-04-10T00:00:00"/>
    <n v="2026"/>
    <x v="2"/>
    <x v="1"/>
    <x v="1"/>
    <x v="9"/>
    <s v="Monthly Salary"/>
    <x v="4"/>
    <s v="Bibit"/>
    <s v="Monthly Salary"/>
    <n v="395500"/>
    <n v="0"/>
    <x v="2"/>
    <s v="Semarang"/>
    <s v="Completed"/>
    <s v="No"/>
    <s v="No"/>
    <n v="47249500"/>
    <x v="3"/>
    <n v="4"/>
  </r>
  <r>
    <s v="TXN0466"/>
    <d v="2026-04-11T00:00:00"/>
    <n v="2026"/>
    <x v="0"/>
    <x v="1"/>
    <x v="0"/>
    <x v="5"/>
    <s v="Clothing"/>
    <x v="1"/>
    <s v="Pertamina"/>
    <s v="Clothing"/>
    <n v="347500"/>
    <n v="1572000"/>
    <x v="0"/>
    <s v="Bandung"/>
    <s v="Completed"/>
    <s v="No"/>
    <s v="No"/>
    <n v="46902000"/>
    <x v="3"/>
    <n v="4"/>
  </r>
  <r>
    <s v="TXN0467"/>
    <d v="2026-04-12T00:00:00"/>
    <n v="2026"/>
    <x v="0"/>
    <x v="0"/>
    <x v="0"/>
    <x v="7"/>
    <s v="Restaurant"/>
    <x v="3"/>
    <s v="Telkomsel"/>
    <s v="Restaurant"/>
    <n v="1495300"/>
    <n v="1044000"/>
    <x v="0"/>
    <s v="Surabaya"/>
    <s v="Completed"/>
    <s v="No"/>
    <s v="No"/>
    <n v="45406700"/>
    <x v="3"/>
    <n v="4"/>
  </r>
  <r>
    <s v="TXN0468"/>
    <d v="2026-04-13T00:00:00"/>
    <n v="2026"/>
    <x v="1"/>
    <x v="4"/>
    <x v="0"/>
    <x v="6"/>
    <s v="Broadband"/>
    <x v="5"/>
    <s v="Telkomsel"/>
    <s v="Broadband"/>
    <n v="1723000"/>
    <n v="1106400"/>
    <x v="0"/>
    <s v="Yogyakarta"/>
    <s v="Completed"/>
    <s v="Yes"/>
    <s v="No"/>
    <n v="43683700"/>
    <x v="3"/>
    <n v="4"/>
  </r>
  <r>
    <s v="TXN0469"/>
    <d v="2026-04-14T00:00:00"/>
    <n v="2026"/>
    <x v="2"/>
    <x v="4"/>
    <x v="1"/>
    <x v="8"/>
    <s v="Project"/>
    <x v="3"/>
    <s v="Shopee"/>
    <s v="Project"/>
    <n v="4191200"/>
    <n v="0"/>
    <x v="0"/>
    <s v="Jakarta"/>
    <s v="Completed"/>
    <s v="Yes"/>
    <s v="No"/>
    <n v="47874900"/>
    <x v="3"/>
    <n v="4"/>
  </r>
  <r>
    <s v="TXN0470"/>
    <d v="2026-04-15T00:00:00"/>
    <n v="2026"/>
    <x v="0"/>
    <x v="5"/>
    <x v="0"/>
    <x v="2"/>
    <s v="Petrol"/>
    <x v="3"/>
    <s v="Shopee"/>
    <s v="Petrol"/>
    <n v="1356900"/>
    <n v="801900"/>
    <x v="2"/>
    <s v="Denpasar"/>
    <s v="Completed"/>
    <s v="No"/>
    <s v="No"/>
    <n v="46518000"/>
    <x v="3"/>
    <n v="4"/>
  </r>
  <r>
    <s v="TXN0471"/>
    <d v="2026-04-16T00:00:00"/>
    <n v="2026"/>
    <x v="0"/>
    <x v="2"/>
    <x v="0"/>
    <x v="0"/>
    <s v="House Rent"/>
    <x v="4"/>
    <s v="Bibit"/>
    <s v="House Rent"/>
    <n v="1108000"/>
    <n v="1930900"/>
    <x v="1"/>
    <s v="Medan"/>
    <s v="Completed"/>
    <s v="Yes"/>
    <s v="No"/>
    <n v="45410000"/>
    <x v="3"/>
    <n v="4"/>
  </r>
  <r>
    <s v="TXN0472"/>
    <d v="2026-04-17T00:00:00"/>
    <n v="2026"/>
    <x v="1"/>
    <x v="5"/>
    <x v="0"/>
    <x v="4"/>
    <s v="Pharmacy"/>
    <x v="0"/>
    <s v="Bibit"/>
    <s v="Pharmacy"/>
    <n v="1486900"/>
    <n v="1615000"/>
    <x v="3"/>
    <s v="Medan"/>
    <s v="Completed"/>
    <s v="No"/>
    <s v="Yes"/>
    <n v="43923100"/>
    <x v="3"/>
    <n v="4"/>
  </r>
  <r>
    <s v="TXN0473"/>
    <d v="2026-04-18T00:00:00"/>
    <n v="2026"/>
    <x v="1"/>
    <x v="4"/>
    <x v="0"/>
    <x v="10"/>
    <s v="Bill"/>
    <x v="2"/>
    <s v="Restoran Sederhana"/>
    <s v="Bill"/>
    <n v="1212600"/>
    <n v="246500"/>
    <x v="3"/>
    <s v="Denpasar"/>
    <s v="Completed"/>
    <s v="No"/>
    <s v="No"/>
    <n v="42710500"/>
    <x v="3"/>
    <n v="4"/>
  </r>
  <r>
    <s v="TXN0474"/>
    <d v="2026-04-19T00:00:00"/>
    <n v="2026"/>
    <x v="1"/>
    <x v="4"/>
    <x v="0"/>
    <x v="2"/>
    <s v="Petrol"/>
    <x v="3"/>
    <s v="Alfamart"/>
    <s v="Petrol"/>
    <n v="1203300"/>
    <n v="1657600"/>
    <x v="2"/>
    <s v="Makassar"/>
    <s v="Completed"/>
    <s v="Yes"/>
    <s v="No"/>
    <n v="41507200"/>
    <x v="3"/>
    <n v="4"/>
  </r>
  <r>
    <s v="TXN0475"/>
    <d v="2026-04-20T00:00:00"/>
    <n v="2026"/>
    <x v="2"/>
    <x v="2"/>
    <x v="0"/>
    <x v="5"/>
    <s v="Clothing"/>
    <x v="4"/>
    <s v="Restoran Sederhana"/>
    <s v="Clothing"/>
    <n v="1817300"/>
    <n v="689000"/>
    <x v="0"/>
    <s v="Semarang"/>
    <s v="Completed"/>
    <s v="Yes"/>
    <s v="No"/>
    <n v="39689900"/>
    <x v="3"/>
    <n v="4"/>
  </r>
  <r>
    <s v="TXN0476"/>
    <d v="2026-04-21T00:00:00"/>
    <n v="2026"/>
    <x v="2"/>
    <x v="0"/>
    <x v="0"/>
    <x v="6"/>
    <s v="Broadband"/>
    <x v="5"/>
    <s v="Pertamina"/>
    <s v="Broadband"/>
    <n v="32100"/>
    <n v="871900"/>
    <x v="2"/>
    <s v="Medan"/>
    <s v="Completed"/>
    <s v="No"/>
    <s v="No"/>
    <n v="39657800"/>
    <x v="3"/>
    <n v="4"/>
  </r>
  <r>
    <s v="TXN0478"/>
    <d v="2026-04-23T00:00:00"/>
    <n v="2026"/>
    <x v="1"/>
    <x v="5"/>
    <x v="1"/>
    <x v="9"/>
    <s v="Monthly Salary"/>
    <x v="0"/>
    <s v="Apotek Kimia Farma"/>
    <s v="Monthly Salary"/>
    <n v="368100"/>
    <n v="0"/>
    <x v="0"/>
    <s v="Medan"/>
    <s v="Completed"/>
    <s v="No"/>
    <s v="No"/>
    <n v="40025900"/>
    <x v="3"/>
    <n v="4"/>
  </r>
  <r>
    <s v="TXN0479"/>
    <d v="2026-04-24T00:00:00"/>
    <n v="2026"/>
    <x v="2"/>
    <x v="5"/>
    <x v="1"/>
    <x v="1"/>
    <s v="Interest"/>
    <x v="4"/>
    <s v="Bibit"/>
    <s v="Interest"/>
    <n v="6378500"/>
    <n v="0"/>
    <x v="3"/>
    <s v="Jakarta"/>
    <s v="Completed"/>
    <s v="No"/>
    <s v="No"/>
    <n v="46404400"/>
    <x v="3"/>
    <n v="4"/>
  </r>
  <r>
    <s v="TXN0480"/>
    <d v="2026-04-25T00:00:00"/>
    <n v="2026"/>
    <x v="2"/>
    <x v="5"/>
    <x v="1"/>
    <x v="8"/>
    <s v="Project"/>
    <x v="1"/>
    <s v="Bibit"/>
    <s v="Project"/>
    <n v="2707300"/>
    <n v="0"/>
    <x v="0"/>
    <s v="Medan"/>
    <s v="Completed"/>
    <s v="No"/>
    <s v="No"/>
    <n v="49111700"/>
    <x v="3"/>
    <n v="4"/>
  </r>
  <r>
    <s v="TXN0481"/>
    <d v="2026-04-26T00:00:00"/>
    <n v="2026"/>
    <x v="2"/>
    <x v="5"/>
    <x v="0"/>
    <x v="0"/>
    <s v="House Rent"/>
    <x v="0"/>
    <s v="Pertamina"/>
    <s v="House Rent"/>
    <n v="1530200"/>
    <n v="1352700"/>
    <x v="3"/>
    <s v="Yogyakarta"/>
    <s v="Completed"/>
    <s v="No"/>
    <s v="No"/>
    <n v="47581500"/>
    <x v="3"/>
    <n v="4"/>
  </r>
  <r>
    <s v="TXN0482"/>
    <d v="2026-04-27T00:00:00"/>
    <n v="2026"/>
    <x v="0"/>
    <x v="1"/>
    <x v="0"/>
    <x v="11"/>
    <s v="Supermarket"/>
    <x v="1"/>
    <s v="Alfamart"/>
    <s v="Supermarket"/>
    <n v="333900"/>
    <n v="850000"/>
    <x v="2"/>
    <s v="Makassar"/>
    <s v="Completed"/>
    <s v="No"/>
    <s v="No"/>
    <n v="47247600"/>
    <x v="3"/>
    <n v="4"/>
  </r>
  <r>
    <s v="TXN0483"/>
    <d v="2026-04-28T00:00:00"/>
    <n v="2026"/>
    <x v="0"/>
    <x v="3"/>
    <x v="0"/>
    <x v="11"/>
    <s v="Supermarket"/>
    <x v="0"/>
    <s v="Telkomsel"/>
    <s v="Supermarket"/>
    <n v="1682500"/>
    <n v="1229800"/>
    <x v="3"/>
    <s v="Semarang"/>
    <s v="Completed"/>
    <s v="No"/>
    <s v="No"/>
    <n v="45565100"/>
    <x v="3"/>
    <n v="4"/>
  </r>
  <r>
    <s v="TXN0484"/>
    <d v="2026-04-29T00:00:00"/>
    <n v="2026"/>
    <x v="2"/>
    <x v="0"/>
    <x v="0"/>
    <x v="4"/>
    <s v="Pharmacy"/>
    <x v="3"/>
    <s v="Pertamina"/>
    <s v="Pharmacy"/>
    <n v="1174100"/>
    <n v="1774300"/>
    <x v="2"/>
    <s v="Surabaya"/>
    <s v="Completed"/>
    <s v="No"/>
    <s v="No"/>
    <n v="44391000"/>
    <x v="3"/>
    <n v="4"/>
  </r>
  <r>
    <s v="TXN0486"/>
    <d v="2026-05-01T00:00:00"/>
    <n v="2026"/>
    <x v="2"/>
    <x v="2"/>
    <x v="0"/>
    <x v="4"/>
    <s v="Pharmacy"/>
    <x v="5"/>
    <s v="Alfamart"/>
    <s v="Pharmacy"/>
    <n v="297600"/>
    <n v="417800"/>
    <x v="3"/>
    <s v="Semarang"/>
    <s v="Completed"/>
    <s v="No"/>
    <s v="No"/>
    <n v="44093400"/>
    <x v="4"/>
    <n v="5"/>
  </r>
  <r>
    <s v="TXN0487"/>
    <d v="2026-05-02T00:00:00"/>
    <n v="2026"/>
    <x v="2"/>
    <x v="5"/>
    <x v="0"/>
    <x v="0"/>
    <s v="House Rent"/>
    <x v="0"/>
    <s v="Shopee"/>
    <s v="House Rent"/>
    <n v="121600"/>
    <n v="1628800"/>
    <x v="3"/>
    <s v="Makassar"/>
    <s v="Completed"/>
    <s v="Yes"/>
    <s v="No"/>
    <n v="43971800"/>
    <x v="4"/>
    <n v="5"/>
  </r>
  <r>
    <s v="TXN0490"/>
    <d v="2026-05-05T00:00:00"/>
    <n v="2026"/>
    <x v="0"/>
    <x v="5"/>
    <x v="0"/>
    <x v="5"/>
    <s v="Clothing"/>
    <x v="1"/>
    <s v="Alfamart"/>
    <s v="Clothing"/>
    <n v="938100"/>
    <n v="1592200"/>
    <x v="0"/>
    <s v="Palembang"/>
    <s v="Completed"/>
    <s v="Yes"/>
    <s v="No"/>
    <n v="43033700"/>
    <x v="4"/>
    <n v="5"/>
  </r>
  <r>
    <s v="TXN0491"/>
    <d v="2026-05-06T00:00:00"/>
    <n v="2026"/>
    <x v="2"/>
    <x v="2"/>
    <x v="0"/>
    <x v="2"/>
    <s v="Petrol"/>
    <x v="5"/>
    <s v="Shopee"/>
    <s v="Petrol"/>
    <n v="1723200"/>
    <n v="1211000"/>
    <x v="0"/>
    <s v="Yogyakarta"/>
    <s v="Completed"/>
    <s v="No"/>
    <s v="No"/>
    <n v="41310500"/>
    <x v="4"/>
    <n v="5"/>
  </r>
  <r>
    <s v="TXN0493"/>
    <d v="2026-05-08T00:00:00"/>
    <n v="2026"/>
    <x v="2"/>
    <x v="5"/>
    <x v="0"/>
    <x v="6"/>
    <s v="Broadband"/>
    <x v="0"/>
    <s v="Tokopedia"/>
    <s v="Broadband"/>
    <n v="390400"/>
    <n v="102400"/>
    <x v="2"/>
    <s v="Palembang"/>
    <s v="Completed"/>
    <s v="No"/>
    <s v="No"/>
    <n v="40920100"/>
    <x v="4"/>
    <n v="5"/>
  </r>
  <r>
    <s v="TXN0494"/>
    <d v="2026-05-09T00:00:00"/>
    <n v="2026"/>
    <x v="0"/>
    <x v="1"/>
    <x v="0"/>
    <x v="0"/>
    <s v="House Rent"/>
    <x v="0"/>
    <s v="Alfamart"/>
    <s v="House Rent"/>
    <n v="277400"/>
    <n v="1312300"/>
    <x v="1"/>
    <s v="Makassar"/>
    <s v="Completed"/>
    <s v="Yes"/>
    <s v="No"/>
    <n v="40642700"/>
    <x v="4"/>
    <n v="5"/>
  </r>
  <r>
    <s v="TXN0495"/>
    <d v="2026-05-10T00:00:00"/>
    <n v="2026"/>
    <x v="0"/>
    <x v="3"/>
    <x v="0"/>
    <x v="10"/>
    <s v="Bill"/>
    <x v="3"/>
    <s v="Alfamart"/>
    <s v="Bill"/>
    <n v="300000"/>
    <n v="199100"/>
    <x v="2"/>
    <s v="Jakarta"/>
    <s v="Completed"/>
    <s v="Yes"/>
    <s v="No"/>
    <n v="40342700"/>
    <x v="4"/>
    <n v="5"/>
  </r>
  <r>
    <s v="TXN0496"/>
    <d v="2026-05-11T00:00:00"/>
    <n v="2026"/>
    <x v="1"/>
    <x v="5"/>
    <x v="0"/>
    <x v="0"/>
    <s v="House Rent"/>
    <x v="1"/>
    <s v="Telkomsel"/>
    <s v="House Rent"/>
    <n v="1702000"/>
    <n v="426800"/>
    <x v="1"/>
    <s v="Surabaya"/>
    <s v="Completed"/>
    <s v="No"/>
    <s v="No"/>
    <n v="38640700"/>
    <x v="4"/>
    <n v="5"/>
  </r>
  <r>
    <s v="TXN0497"/>
    <d v="2026-05-12T00:00:00"/>
    <n v="2026"/>
    <x v="0"/>
    <x v="0"/>
    <x v="0"/>
    <x v="4"/>
    <s v="Pharmacy"/>
    <x v="4"/>
    <s v="Alfamart"/>
    <s v="Pharmacy"/>
    <n v="164700"/>
    <n v="1082200"/>
    <x v="1"/>
    <s v="Semarang"/>
    <s v="Completed"/>
    <s v="Yes"/>
    <s v="No"/>
    <n v="38476000"/>
    <x v="4"/>
    <n v="5"/>
  </r>
  <r>
    <s v="TXN0498"/>
    <d v="2026-05-13T00:00:00"/>
    <n v="2026"/>
    <x v="2"/>
    <x v="5"/>
    <x v="1"/>
    <x v="9"/>
    <s v="Monthly Salary"/>
    <x v="4"/>
    <s v="Bibit"/>
    <s v="Monthly Salary"/>
    <n v="2651600"/>
    <n v="0"/>
    <x v="0"/>
    <s v="Bandung"/>
    <s v="Completed"/>
    <s v="No"/>
    <s v="No"/>
    <n v="41127600"/>
    <x v="4"/>
    <n v="5"/>
  </r>
  <r>
    <s v="TXN0499"/>
    <d v="2026-05-14T00:00:00"/>
    <n v="2026"/>
    <x v="0"/>
    <x v="1"/>
    <x v="0"/>
    <x v="10"/>
    <s v="Bill"/>
    <x v="2"/>
    <s v="Telkomsel"/>
    <s v="Bill"/>
    <n v="1478600"/>
    <n v="1815300"/>
    <x v="0"/>
    <s v="Malang"/>
    <s v="Completed"/>
    <s v="Yes"/>
    <s v="No"/>
    <n v="39649000"/>
    <x v="4"/>
    <n v="5"/>
  </r>
  <r>
    <s v="TXN0500"/>
    <d v="2026-05-15T00:00:00"/>
    <n v="2026"/>
    <x v="0"/>
    <x v="2"/>
    <x v="0"/>
    <x v="11"/>
    <s v="Supermarket"/>
    <x v="2"/>
    <s v="Alfamart"/>
    <s v="Supermarket"/>
    <n v="1259000"/>
    <n v="1322100"/>
    <x v="3"/>
    <s v="Semarang"/>
    <s v="Completed"/>
    <s v="No"/>
    <s v="No"/>
    <n v="38390000"/>
    <x v="4"/>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88F612-3157-47D2-B43F-C2B9954A0BDE}" name="PivotTable13" cacheId="679"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45">
  <location ref="J55:K62" firstHeaderRow="1" firstDataRow="1" firstDataCol="1" rowPageCount="1" colPageCount="1"/>
  <pivotFields count="21">
    <pivotField showAll="0"/>
    <pivotField numFmtId="164" showAll="0"/>
    <pivotField showAll="0"/>
    <pivotField showAll="0">
      <items count="4">
        <item x="1"/>
        <item x="0"/>
        <item x="2"/>
        <item t="default"/>
      </items>
    </pivotField>
    <pivotField showAll="0"/>
    <pivotField axis="axisPage" showAll="0">
      <items count="3">
        <item x="0"/>
        <item x="1"/>
        <item t="default"/>
      </items>
    </pivotField>
    <pivotField showAll="0"/>
    <pivotField showAll="0"/>
    <pivotField axis="axisRow" showAll="0">
      <items count="7">
        <item x="4"/>
        <item x="0"/>
        <item x="5"/>
        <item x="2"/>
        <item x="1"/>
        <item x="3"/>
        <item t="default"/>
      </items>
    </pivotField>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s>
  <rowFields count="1">
    <field x="8"/>
  </rowFields>
  <rowItems count="7">
    <i>
      <x/>
    </i>
    <i>
      <x v="1"/>
    </i>
    <i>
      <x v="2"/>
    </i>
    <i>
      <x v="3"/>
    </i>
    <i>
      <x v="4"/>
    </i>
    <i>
      <x v="5"/>
    </i>
    <i t="grand">
      <x/>
    </i>
  </rowItems>
  <colItems count="1">
    <i/>
  </colItems>
  <pageFields count="1">
    <pageField fld="5" item="0" hier="-1"/>
  </pageFields>
  <dataFields count="1">
    <dataField name="Sum of Amount (Rp)" fld="11" baseField="0" baseItem="0" numFmtId="165"/>
  </dataFields>
  <chartFormats count="1">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C4952A-D18E-4625-A9BD-0E046FC54173}" name="PivotTable12" cacheId="679"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3">
  <location ref="O51:Q60" firstHeaderRow="0" firstDataRow="1" firstDataCol="1" rowPageCount="1" colPageCount="1"/>
  <pivotFields count="21">
    <pivotField showAll="0"/>
    <pivotField numFmtId="164" showAll="0"/>
    <pivotField showAll="0"/>
    <pivotField showAll="0">
      <items count="4">
        <item x="1"/>
        <item x="0"/>
        <item x="2"/>
        <item t="default"/>
      </items>
    </pivotField>
    <pivotField showAll="0"/>
    <pivotField axis="axisPage" showAll="0">
      <items count="3">
        <item x="0"/>
        <item x="1"/>
        <item t="default"/>
      </items>
    </pivotField>
    <pivotField axis="axisRow" showAll="0">
      <items count="13">
        <item x="3"/>
        <item x="7"/>
        <item x="10"/>
        <item x="8"/>
        <item x="2"/>
        <item x="11"/>
        <item x="4"/>
        <item x="1"/>
        <item x="6"/>
        <item x="0"/>
        <item x="9"/>
        <item x="5"/>
        <item t="default"/>
      </items>
    </pivotField>
    <pivotField showAll="0"/>
    <pivotField showAll="0"/>
    <pivotField showAll="0"/>
    <pivotField showAll="0"/>
    <pivotField dataField="1" numFmtId="165" showAll="0"/>
    <pivotField dataField="1"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s>
  <rowFields count="1">
    <field x="6"/>
  </rowFields>
  <rowItems count="9">
    <i>
      <x v="1"/>
    </i>
    <i>
      <x v="2"/>
    </i>
    <i>
      <x v="4"/>
    </i>
    <i>
      <x v="5"/>
    </i>
    <i>
      <x v="6"/>
    </i>
    <i>
      <x v="8"/>
    </i>
    <i>
      <x v="9"/>
    </i>
    <i>
      <x v="11"/>
    </i>
    <i t="grand">
      <x/>
    </i>
  </rowItems>
  <colFields count="1">
    <field x="-2"/>
  </colFields>
  <colItems count="2">
    <i>
      <x/>
    </i>
    <i i="1">
      <x v="1"/>
    </i>
  </colItems>
  <pageFields count="1">
    <pageField fld="5" item="0" hier="-1"/>
  </pageFields>
  <dataFields count="2">
    <dataField name="Sum of Amount (Rp)" fld="11" baseField="0" baseItem="0" numFmtId="165"/>
    <dataField name="Sum of Budget (Rp)" fld="12" baseField="0" baseItem="0" numFmtId="165"/>
  </dataFields>
  <chartFormats count="2">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7B29F3-F133-4C16-82D7-791052686BF3}" name="PivotTable9" cacheId="679"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41">
  <location ref="W40:X44" firstHeaderRow="1" firstDataRow="1" firstDataCol="1"/>
  <pivotFields count="21">
    <pivotField showAll="0"/>
    <pivotField numFmtId="164"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s>
  <rowFields count="1">
    <field x="3"/>
  </rowFields>
  <rowItems count="4">
    <i>
      <x/>
    </i>
    <i>
      <x v="1"/>
    </i>
    <i>
      <x v="2"/>
    </i>
    <i t="grand">
      <x/>
    </i>
  </rowItems>
  <colItems count="1">
    <i/>
  </colItems>
  <dataFields count="1">
    <dataField name="Sum of Amount (Rp)" fld="11" baseField="0" baseItem="0" numFmtId="165"/>
  </dataFields>
  <chartFormats count="4">
    <chartFormat chart="36" format="17" series="1">
      <pivotArea type="data" outline="0" fieldPosition="0">
        <references count="1">
          <reference field="4294967294" count="1" selected="0">
            <x v="0"/>
          </reference>
        </references>
      </pivotArea>
    </chartFormat>
    <chartFormat chart="36" format="18">
      <pivotArea type="data" outline="0" fieldPosition="0">
        <references count="2">
          <reference field="4294967294" count="1" selected="0">
            <x v="0"/>
          </reference>
          <reference field="3" count="1" selected="0">
            <x v="0"/>
          </reference>
        </references>
      </pivotArea>
    </chartFormat>
    <chartFormat chart="36" format="19">
      <pivotArea type="data" outline="0" fieldPosition="0">
        <references count="2">
          <reference field="4294967294" count="1" selected="0">
            <x v="0"/>
          </reference>
          <reference field="3" count="1" selected="0">
            <x v="1"/>
          </reference>
        </references>
      </pivotArea>
    </chartFormat>
    <chartFormat chart="36" format="20">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723E55-92B0-4D1D-8613-E86EAA21610F}" name="PivotTable8" cacheId="679"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9">
  <location ref="O40:P45" firstHeaderRow="1" firstDataRow="1" firstDataCol="1" rowPageCount="1" colPageCount="1"/>
  <pivotFields count="21">
    <pivotField showAll="0"/>
    <pivotField numFmtId="164" showAll="0"/>
    <pivotField showAll="0"/>
    <pivotField showAll="0">
      <items count="4">
        <item x="1"/>
        <item x="0"/>
        <item x="2"/>
        <item t="default"/>
      </items>
    </pivotField>
    <pivotField showAll="0"/>
    <pivotField axis="axisPage" showAll="0">
      <items count="3">
        <item x="0"/>
        <item x="1"/>
        <item t="default"/>
      </items>
    </pivotField>
    <pivotField axis="axisRow" showAll="0">
      <items count="13">
        <item x="3"/>
        <item x="7"/>
        <item x="10"/>
        <item x="8"/>
        <item x="2"/>
        <item x="11"/>
        <item x="4"/>
        <item x="1"/>
        <item x="6"/>
        <item x="0"/>
        <item x="9"/>
        <item x="5"/>
        <item t="default"/>
      </items>
    </pivotField>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s>
  <rowFields count="1">
    <field x="6"/>
  </rowFields>
  <rowItems count="5">
    <i>
      <x/>
    </i>
    <i>
      <x v="3"/>
    </i>
    <i>
      <x v="7"/>
    </i>
    <i>
      <x v="10"/>
    </i>
    <i t="grand">
      <x/>
    </i>
  </rowItems>
  <colItems count="1">
    <i/>
  </colItems>
  <pageFields count="1">
    <pageField fld="5" item="1" hier="-1"/>
  </pageFields>
  <dataFields count="1">
    <dataField name="Sum of Amount (Rp)" fld="11" baseField="0" baseItem="0" numFmtId="165"/>
  </dataFields>
  <chartFormats count="5">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6" count="1" selected="0">
            <x v="10"/>
          </reference>
        </references>
      </pivotArea>
    </chartFormat>
    <chartFormat chart="28" format="4">
      <pivotArea type="data" outline="0" fieldPosition="0">
        <references count="2">
          <reference field="4294967294" count="1" selected="0">
            <x v="0"/>
          </reference>
          <reference field="6" count="1" selected="0">
            <x v="7"/>
          </reference>
        </references>
      </pivotArea>
    </chartFormat>
    <chartFormat chart="28" format="5">
      <pivotArea type="data" outline="0" fieldPosition="0">
        <references count="2">
          <reference field="4294967294" count="1" selected="0">
            <x v="0"/>
          </reference>
          <reference field="6" count="1" selected="0">
            <x v="3"/>
          </reference>
        </references>
      </pivotArea>
    </chartFormat>
    <chartFormat chart="28" format="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D03657-62EA-4872-A7EF-8500155AFEDB}" name="PivotTable5" cacheId="679"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5">
  <location ref="J31:K38" firstHeaderRow="1" firstDataRow="1" firstDataCol="1"/>
  <pivotFields count="21">
    <pivotField dataField="1" showAll="0"/>
    <pivotField numFmtId="164" showAll="0"/>
    <pivotField showAll="0"/>
    <pivotField showAll="0">
      <items count="4">
        <item x="1"/>
        <item x="0"/>
        <item x="2"/>
        <item t="default"/>
      </items>
    </pivotField>
    <pivotField axis="axisRow" showAll="0">
      <items count="8">
        <item m="1" x="6"/>
        <item x="0"/>
        <item x="1"/>
        <item x="2"/>
        <item x="3"/>
        <item x="4"/>
        <item x="5"/>
        <item t="default"/>
      </items>
    </pivotField>
    <pivotField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s>
  <rowFields count="1">
    <field x="4"/>
  </rowFields>
  <rowItems count="7">
    <i>
      <x v="1"/>
    </i>
    <i>
      <x v="2"/>
    </i>
    <i>
      <x v="3"/>
    </i>
    <i>
      <x v="4"/>
    </i>
    <i>
      <x v="5"/>
    </i>
    <i>
      <x v="6"/>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90B12B-FCE4-4C2C-BA37-C0E20EF2B325}" name="PivotTable4" cacheId="679"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5">
  <location ref="N29:O34" firstHeaderRow="1" firstDataRow="1" firstDataCol="1"/>
  <pivotFields count="21">
    <pivotField showAll="0"/>
    <pivotField numFmtId="164" showAll="0"/>
    <pivotField showAll="0"/>
    <pivotField showAll="0">
      <items count="4">
        <item x="1"/>
        <item x="0"/>
        <item x="2"/>
        <item t="default"/>
      </items>
    </pivotField>
    <pivotField showAll="0"/>
    <pivotField showAll="0"/>
    <pivotField showAll="0"/>
    <pivotField showAll="0"/>
    <pivotField showAll="0"/>
    <pivotField showAll="0"/>
    <pivotField showAll="0"/>
    <pivotField dataField="1" numFmtId="165" showAll="0"/>
    <pivotField numFmtId="165" showAll="0"/>
    <pivotField axis="axisRow"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s>
  <rowFields count="1">
    <field x="13"/>
  </rowFields>
  <rowItems count="5">
    <i>
      <x/>
    </i>
    <i>
      <x v="1"/>
    </i>
    <i>
      <x v="2"/>
    </i>
    <i>
      <x v="3"/>
    </i>
    <i t="grand">
      <x/>
    </i>
  </rowItems>
  <colItems count="1">
    <i/>
  </colItems>
  <dataFields count="1">
    <dataField name="Sum of Amount (Rp)" fld="11" baseField="0" baseItem="0" numFmtId="165"/>
  </dataFields>
  <chartFormats count="4">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13" count="1" selected="0">
            <x v="1"/>
          </reference>
        </references>
      </pivotArea>
    </chartFormat>
    <chartFormat chart="20" format="4">
      <pivotArea type="data" outline="0" fieldPosition="0">
        <references count="2">
          <reference field="4294967294" count="1" selected="0">
            <x v="0"/>
          </reference>
          <reference field="13" count="1" selected="0">
            <x v="2"/>
          </reference>
        </references>
      </pivotArea>
    </chartFormat>
    <chartFormat chart="20" format="5">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41BF61-51D5-4576-9E0F-B58C05431717}" name="PivotTable3" cacheId="679"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7">
  <location ref="N13:O22" firstHeaderRow="1" firstDataRow="1" firstDataCol="1" rowPageCount="1" colPageCount="1"/>
  <pivotFields count="21">
    <pivotField showAll="0"/>
    <pivotField numFmtId="164" showAll="0"/>
    <pivotField showAll="0"/>
    <pivotField showAll="0">
      <items count="4">
        <item x="1"/>
        <item x="0"/>
        <item x="2"/>
        <item t="default"/>
      </items>
    </pivotField>
    <pivotField showAll="0"/>
    <pivotField axis="axisPage" showAll="0">
      <items count="3">
        <item x="0"/>
        <item x="1"/>
        <item t="default"/>
      </items>
    </pivotField>
    <pivotField axis="axisRow" showAll="0">
      <items count="13">
        <item x="3"/>
        <item x="7"/>
        <item x="10"/>
        <item x="8"/>
        <item x="2"/>
        <item x="11"/>
        <item x="4"/>
        <item x="1"/>
        <item x="6"/>
        <item x="0"/>
        <item x="9"/>
        <item x="5"/>
        <item t="default"/>
      </items>
    </pivotField>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s>
  <rowFields count="1">
    <field x="6"/>
  </rowFields>
  <rowItems count="9">
    <i>
      <x v="1"/>
    </i>
    <i>
      <x v="2"/>
    </i>
    <i>
      <x v="4"/>
    </i>
    <i>
      <x v="5"/>
    </i>
    <i>
      <x v="6"/>
    </i>
    <i>
      <x v="8"/>
    </i>
    <i>
      <x v="9"/>
    </i>
    <i>
      <x v="11"/>
    </i>
    <i t="grand">
      <x/>
    </i>
  </rowItems>
  <colItems count="1">
    <i/>
  </colItems>
  <pageFields count="1">
    <pageField fld="5" item="0" hier="-1"/>
  </pageFields>
  <dataFields count="1">
    <dataField name="Sum of Amount (Rp)" fld="11" baseField="0" baseItem="0" numFmtId="165"/>
  </dataFields>
  <chartFormats count="9">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6" count="1" selected="0">
            <x v="1"/>
          </reference>
        </references>
      </pivotArea>
    </chartFormat>
    <chartFormat chart="13" format="12">
      <pivotArea type="data" outline="0" fieldPosition="0">
        <references count="2">
          <reference field="4294967294" count="1" selected="0">
            <x v="0"/>
          </reference>
          <reference field="6" count="1" selected="0">
            <x v="2"/>
          </reference>
        </references>
      </pivotArea>
    </chartFormat>
    <chartFormat chart="13" format="13">
      <pivotArea type="data" outline="0" fieldPosition="0">
        <references count="2">
          <reference field="4294967294" count="1" selected="0">
            <x v="0"/>
          </reference>
          <reference field="6" count="1" selected="0">
            <x v="4"/>
          </reference>
        </references>
      </pivotArea>
    </chartFormat>
    <chartFormat chart="13" format="14">
      <pivotArea type="data" outline="0" fieldPosition="0">
        <references count="2">
          <reference field="4294967294" count="1" selected="0">
            <x v="0"/>
          </reference>
          <reference field="6" count="1" selected="0">
            <x v="5"/>
          </reference>
        </references>
      </pivotArea>
    </chartFormat>
    <chartFormat chart="13" format="15">
      <pivotArea type="data" outline="0" fieldPosition="0">
        <references count="2">
          <reference field="4294967294" count="1" selected="0">
            <x v="0"/>
          </reference>
          <reference field="6" count="1" selected="0">
            <x v="6"/>
          </reference>
        </references>
      </pivotArea>
    </chartFormat>
    <chartFormat chart="13" format="16">
      <pivotArea type="data" outline="0" fieldPosition="0">
        <references count="2">
          <reference field="4294967294" count="1" selected="0">
            <x v="0"/>
          </reference>
          <reference field="6" count="1" selected="0">
            <x v="8"/>
          </reference>
        </references>
      </pivotArea>
    </chartFormat>
    <chartFormat chart="13" format="17">
      <pivotArea type="data" outline="0" fieldPosition="0">
        <references count="2">
          <reference field="4294967294" count="1" selected="0">
            <x v="0"/>
          </reference>
          <reference field="6" count="1" selected="0">
            <x v="9"/>
          </reference>
        </references>
      </pivotArea>
    </chartFormat>
    <chartFormat chart="13" format="18">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176004-36B1-4A50-8320-E9418334D20F}" name="PivotTable2" cacheId="679"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0">
  <location ref="H13:J27" firstHeaderRow="1" firstDataRow="2" firstDataCol="1"/>
  <pivotFields count="21">
    <pivotField showAll="0"/>
    <pivotField numFmtId="164" showAll="0"/>
    <pivotField showAll="0"/>
    <pivotField showAll="0">
      <items count="4">
        <item x="1"/>
        <item x="0"/>
        <item x="2"/>
        <item t="default"/>
      </items>
    </pivotField>
    <pivotField showAll="0"/>
    <pivotField axis="axisCol" showAll="0">
      <items count="3">
        <item x="0"/>
        <item x="1"/>
        <item t="default"/>
      </items>
    </pivotField>
    <pivotField showAll="0"/>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axis="axisRow" showAll="0">
      <items count="13">
        <item x="0"/>
        <item x="1"/>
        <item x="2"/>
        <item x="3"/>
        <item x="4"/>
        <item x="5"/>
        <item x="6"/>
        <item x="7"/>
        <item x="8"/>
        <item x="9"/>
        <item x="10"/>
        <item x="11"/>
        <item t="default"/>
      </items>
    </pivotField>
    <pivotField showAll="0"/>
  </pivotFields>
  <rowFields count="1">
    <field x="19"/>
  </rowFields>
  <rowItems count="13">
    <i>
      <x/>
    </i>
    <i>
      <x v="1"/>
    </i>
    <i>
      <x v="2"/>
    </i>
    <i>
      <x v="3"/>
    </i>
    <i>
      <x v="4"/>
    </i>
    <i>
      <x v="5"/>
    </i>
    <i>
      <x v="6"/>
    </i>
    <i>
      <x v="7"/>
    </i>
    <i>
      <x v="8"/>
    </i>
    <i>
      <x v="9"/>
    </i>
    <i>
      <x v="10"/>
    </i>
    <i>
      <x v="11"/>
    </i>
    <i t="grand">
      <x/>
    </i>
  </rowItems>
  <colFields count="1">
    <field x="5"/>
  </colFields>
  <colItems count="2">
    <i>
      <x/>
    </i>
    <i>
      <x v="1"/>
    </i>
  </colItems>
  <dataFields count="1">
    <dataField name="Sum of Amount (Rp)" fld="11" baseField="0" baseItem="0" numFmtId="165"/>
  </dataFields>
  <chartFormats count="3">
    <chartFormat chart="8" format="4" series="1">
      <pivotArea type="data" outline="0" fieldPosition="0">
        <references count="2">
          <reference field="4294967294" count="1" selected="0">
            <x v="0"/>
          </reference>
          <reference field="5" count="1" selected="0">
            <x v="0"/>
          </reference>
        </references>
      </pivotArea>
    </chartFormat>
    <chartFormat chart="8" format="5" series="1">
      <pivotArea type="data" outline="0" fieldPosition="0">
        <references count="2">
          <reference field="4294967294" count="1" selected="0">
            <x v="0"/>
          </reference>
          <reference field="5" count="1" selected="0">
            <x v="1"/>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3152BF-ACE4-47AA-B639-F5CAA692E507}" name="PivotTable1" cacheId="67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E7" firstHeaderRow="0" firstDataRow="1" firstDataCol="1"/>
  <pivotFields count="21">
    <pivotField dataField="1" showAll="0"/>
    <pivotField numFmtId="164" showAll="0"/>
    <pivotField showAll="0"/>
    <pivotField showAll="0">
      <items count="4">
        <item x="1"/>
        <item x="0"/>
        <item x="2"/>
        <item t="default"/>
      </items>
    </pivotField>
    <pivotField showAll="0"/>
    <pivotField axis="axisRow" showAll="0">
      <items count="3">
        <item x="0"/>
        <item x="1"/>
        <item t="default"/>
      </items>
    </pivotField>
    <pivotField showAll="0"/>
    <pivotField showAll="0"/>
    <pivotField showAll="0"/>
    <pivotField showAll="0"/>
    <pivotField showAll="0"/>
    <pivotField dataField="1" numFmtId="165" showAll="0"/>
    <pivotField dataField="1"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s>
  <rowFields count="1">
    <field x="5"/>
  </rowFields>
  <rowItems count="3">
    <i>
      <x/>
    </i>
    <i>
      <x v="1"/>
    </i>
    <i t="grand">
      <x/>
    </i>
  </rowItems>
  <colFields count="1">
    <field x="-2"/>
  </colFields>
  <colItems count="3">
    <i>
      <x/>
    </i>
    <i i="1">
      <x v="1"/>
    </i>
    <i i="2">
      <x v="2"/>
    </i>
  </colItems>
  <dataFields count="3">
    <dataField name="Sum of Amount (Rp)" fld="11" baseField="0" baseItem="0" numFmtId="165"/>
    <dataField name="Sum of Budget (Rp)" fld="12" baseField="0" baseItem="0" numFmtId="165"/>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ACFEB8A-E57B-41A6-A191-861BDA8448F6}" sourceName="Month">
  <pivotTables>
    <pivotTable tabId="2" name="PivotTable12"/>
    <pivotTable tabId="2" name="PivotTable1"/>
    <pivotTable tabId="2" name="PivotTable13"/>
    <pivotTable tabId="2" name="PivotTable2"/>
    <pivotTable tabId="2" name="PivotTable3"/>
    <pivotTable tabId="2" name="PivotTable4"/>
    <pivotTable tabId="2" name="PivotTable5"/>
    <pivotTable tabId="2" name="PivotTable8"/>
    <pivotTable tabId="2" name="PivotTable9"/>
  </pivotTables>
  <data>
    <tabular pivotCacheId="88805432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74A5C295-D959-4493-A7CA-B425A9FD2E60}" sourceName="Account">
  <pivotTables>
    <pivotTable tabId="2" name="PivotTable12"/>
    <pivotTable tabId="2" name="PivotTable1"/>
    <pivotTable tabId="2" name="PivotTable13"/>
    <pivotTable tabId="2" name="PivotTable2"/>
    <pivotTable tabId="2" name="PivotTable3"/>
    <pivotTable tabId="2" name="PivotTable4"/>
    <pivotTable tabId="2" name="PivotTable5"/>
    <pivotTable tabId="2" name="PivotTable8"/>
    <pivotTable tabId="2" name="PivotTable9"/>
  </pivotTables>
  <data>
    <tabular pivotCacheId="88805432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ABC8B87-4227-4409-807C-603ED0764CC0}" cache="Slicer_Month" caption="Month" style="SlicerStyleDark2" rowHeight="324000"/>
  <slicer name="Account" xr10:uid="{32E705F6-903B-49DB-88A4-46317E5319C0}" cache="Slicer_Account" caption="Account"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BC1CFE-BBD6-432C-8A89-9E83EFFBD622}" name="Table2" displayName="Table2" ref="A3:U444" totalsRowShown="0">
  <autoFilter ref="A3:U444" xr:uid="{F7BC1CFE-BBD6-432C-8A89-9E83EFFBD622}"/>
  <tableColumns count="21">
    <tableColumn id="1" xr3:uid="{4F802232-D01D-4FFF-9295-7CB70FC12FC6}" name="Transaction ID"/>
    <tableColumn id="2" xr3:uid="{75EFFE2E-610F-441A-B87A-CB4D86289C7E}" name="Date" dataDxfId="0"/>
    <tableColumn id="3" xr3:uid="{0130E663-475D-4999-B4B3-23ABD8CDBF71}" name="Year"/>
    <tableColumn id="4" xr3:uid="{4718DCB7-A4B0-40FC-9C6A-F526D5B6C872}" name="Account"/>
    <tableColumn id="5" xr3:uid="{1037BF8D-BDCC-4034-A9EB-E88C54B581DE}" name="Bank"/>
    <tableColumn id="6" xr3:uid="{7CC193AA-0B46-4948-8D01-2EB443D920B7}" name="Transaction Type"/>
    <tableColumn id="7" xr3:uid="{343643AC-A974-4347-9501-96782363B2C4}" name="Category"/>
    <tableColumn id="8" xr3:uid="{7E75B494-E17A-4B18-8D29-302A8FE4C42E}" name="Sub Category"/>
    <tableColumn id="9" xr3:uid="{403CE75C-88D4-4180-B915-416BE0E5C717}" name="Payment Method"/>
    <tableColumn id="10" xr3:uid="{23C75C52-569C-4F50-B97F-F6F0F7B6A5DE}" name="Merchant"/>
    <tableColumn id="11" xr3:uid="{7DE9B20F-39E8-4090-A551-B995D78C5AB2}" name="Description"/>
    <tableColumn id="12" xr3:uid="{6042D286-0C3B-439B-9ACA-A2D88CED3759}" name="Amount (Rp)"/>
    <tableColumn id="13" xr3:uid="{0341EB51-F7D7-476A-BC71-F633D07FCBCF}" name="Budget (Rp)"/>
    <tableColumn id="14" xr3:uid="{44F29149-A9AD-4869-8E34-132BAA1AC06A}" name="Savings Goal"/>
    <tableColumn id="15" xr3:uid="{9CE7A524-9EC8-4C7E-87BF-622FA17670A6}" name="Location"/>
    <tableColumn id="16" xr3:uid="{10AC1FA2-75ED-444F-AB78-A56A18D65FA1}" name="Status"/>
    <tableColumn id="17" xr3:uid="{CEEAC956-EC8C-4E9E-837B-63A396405014}" name="Recurring"/>
    <tableColumn id="18" xr3:uid="{259C7554-523B-4244-804F-5E0BD85FEB4F}" name="Tax Deductible"/>
    <tableColumn id="19" xr3:uid="{0840B8D1-05A2-488A-B79F-6307F4BD4EF6}" name="Balance After Transaction (Rp)"/>
    <tableColumn id="20" xr3:uid="{E558B9B5-7916-4EFA-A891-E8CE80A12574}" name="Month"/>
    <tableColumn id="21" xr3:uid="{43EBB410-AC2D-4F05-A384-B158F2ED7E6E}" name="Month N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Transactions" displayName="tblTransactions" ref="A1:U442" totalsRowShown="0">
  <autoFilter ref="A1:U442" xr:uid="{00000000-0009-0000-0100-000001000000}"/>
  <tableColumns count="21">
    <tableColumn id="1" xr3:uid="{00000000-0010-0000-0000-000001000000}" name="Transaction ID"/>
    <tableColumn id="2" xr3:uid="{00000000-0010-0000-0000-000002000000}" name="Date"/>
    <tableColumn id="3" xr3:uid="{00000000-0010-0000-0000-000003000000}" name="Year"/>
    <tableColumn id="4" xr3:uid="{00000000-0010-0000-0000-000004000000}" name="Account"/>
    <tableColumn id="5" xr3:uid="{00000000-0010-0000-0000-000005000000}" name="Bank"/>
    <tableColumn id="6" xr3:uid="{00000000-0010-0000-0000-000006000000}" name="Transaction Type"/>
    <tableColumn id="7" xr3:uid="{00000000-0010-0000-0000-000007000000}" name="Category"/>
    <tableColumn id="8" xr3:uid="{00000000-0010-0000-0000-000008000000}" name="Sub Category"/>
    <tableColumn id="9" xr3:uid="{00000000-0010-0000-0000-000009000000}" name="Payment Method"/>
    <tableColumn id="10" xr3:uid="{00000000-0010-0000-0000-00000A000000}" name="Merchant"/>
    <tableColumn id="11" xr3:uid="{00000000-0010-0000-0000-00000B000000}" name="Description"/>
    <tableColumn id="12" xr3:uid="{00000000-0010-0000-0000-00000C000000}" name="Amount (Rp)"/>
    <tableColumn id="13" xr3:uid="{00000000-0010-0000-0000-00000D000000}" name="Budget (Rp)"/>
    <tableColumn id="14" xr3:uid="{00000000-0010-0000-0000-00000E000000}" name="Savings Goal"/>
    <tableColumn id="15" xr3:uid="{00000000-0010-0000-0000-00000F000000}" name="Location"/>
    <tableColumn id="16" xr3:uid="{00000000-0010-0000-0000-000010000000}" name="Status"/>
    <tableColumn id="17" xr3:uid="{00000000-0010-0000-0000-000011000000}" name="Recurring"/>
    <tableColumn id="18" xr3:uid="{00000000-0010-0000-0000-000012000000}" name="Tax Deductible"/>
    <tableColumn id="19" xr3:uid="{00000000-0010-0000-0000-000013000000}" name="Balance After Transaction (Rp)"/>
    <tableColumn id="20" xr3:uid="{00000000-0010-0000-0000-000014000000}" name="Month"/>
    <tableColumn id="22" xr3:uid="{00000000-0010-0000-0000-000016000000}" name="Month No"/>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1B445-2B2A-4052-AE87-D7B49CF3B5BA}">
  <sheetPr codeName="Sheet1"/>
  <dimension ref="A1:U444"/>
  <sheetViews>
    <sheetView workbookViewId="0">
      <selection activeCell="F106" sqref="F106"/>
    </sheetView>
  </sheetViews>
  <sheetFormatPr defaultRowHeight="15" x14ac:dyDescent="0.25"/>
  <cols>
    <col min="1" max="1" width="15.85546875" bestFit="1" customWidth="1"/>
    <col min="2" max="2" width="10.7109375" bestFit="1" customWidth="1"/>
    <col min="3" max="3" width="9.28515625" bestFit="1" customWidth="1"/>
    <col min="4" max="4" width="10.85546875" bestFit="1" customWidth="1"/>
    <col min="5" max="5" width="14.5703125" bestFit="1" customWidth="1"/>
    <col min="6" max="6" width="18.28515625" bestFit="1" customWidth="1"/>
    <col min="7" max="7" width="11.28515625" bestFit="1" customWidth="1"/>
    <col min="8" max="8" width="14.85546875" bestFit="1" customWidth="1"/>
    <col min="9" max="9" width="18.85546875" bestFit="1" customWidth="1"/>
    <col min="10" max="10" width="20" bestFit="1" customWidth="1"/>
    <col min="11" max="11" width="14.28515625" bestFit="1" customWidth="1"/>
    <col min="12" max="12" width="14.5703125" bestFit="1" customWidth="1"/>
    <col min="13" max="13" width="13.7109375" bestFit="1" customWidth="1"/>
    <col min="14" max="14" width="15.7109375" bestFit="1" customWidth="1"/>
    <col min="15" max="16" width="10.85546875" bestFit="1" customWidth="1"/>
    <col min="17" max="17" width="11.7109375" bestFit="1" customWidth="1"/>
    <col min="18" max="18" width="16.5703125" bestFit="1" customWidth="1"/>
    <col min="19" max="19" width="30.42578125" bestFit="1" customWidth="1"/>
    <col min="20" max="20" width="9.28515625" bestFit="1" customWidth="1"/>
    <col min="21" max="21" width="12.28515625" bestFit="1" customWidth="1"/>
  </cols>
  <sheetData>
    <row r="1" spans="1:21" x14ac:dyDescent="0.25">
      <c r="A1" s="10" t="s">
        <v>544</v>
      </c>
    </row>
    <row r="3" spans="1:21"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21</v>
      </c>
    </row>
    <row r="4" spans="1:21" x14ac:dyDescent="0.25">
      <c r="A4" t="s">
        <v>518</v>
      </c>
      <c r="B4" s="9">
        <v>46155</v>
      </c>
      <c r="C4">
        <v>2026</v>
      </c>
      <c r="D4" t="s">
        <v>68</v>
      </c>
      <c r="E4" t="s">
        <v>552</v>
      </c>
      <c r="F4" t="s">
        <v>35</v>
      </c>
      <c r="G4" t="s">
        <v>95</v>
      </c>
      <c r="H4" t="s">
        <v>96</v>
      </c>
      <c r="I4" t="s">
        <v>56</v>
      </c>
      <c r="J4" t="s">
        <v>115</v>
      </c>
      <c r="K4" t="s">
        <v>96</v>
      </c>
      <c r="L4">
        <v>2651600</v>
      </c>
      <c r="M4">
        <v>0</v>
      </c>
      <c r="N4" t="s">
        <v>29</v>
      </c>
      <c r="O4" t="s">
        <v>60</v>
      </c>
      <c r="P4" t="s">
        <v>31</v>
      </c>
      <c r="Q4" t="s">
        <v>33</v>
      </c>
      <c r="R4" t="s">
        <v>33</v>
      </c>
      <c r="S4">
        <v>41127600</v>
      </c>
      <c r="T4" t="s">
        <v>532</v>
      </c>
      <c r="U4">
        <v>5</v>
      </c>
    </row>
    <row r="5" spans="1:21" x14ac:dyDescent="0.25">
      <c r="A5" t="s">
        <v>34</v>
      </c>
      <c r="B5" s="9">
        <v>46025</v>
      </c>
      <c r="C5">
        <v>2026</v>
      </c>
      <c r="D5" t="s">
        <v>23</v>
      </c>
      <c r="E5" t="s">
        <v>553</v>
      </c>
      <c r="F5" t="s">
        <v>35</v>
      </c>
      <c r="G5" t="s">
        <v>36</v>
      </c>
      <c r="H5" t="s">
        <v>36</v>
      </c>
      <c r="I5" t="s">
        <v>37</v>
      </c>
      <c r="J5" t="s">
        <v>38</v>
      </c>
      <c r="K5" t="s">
        <v>36</v>
      </c>
      <c r="L5">
        <v>4540400</v>
      </c>
      <c r="M5">
        <v>0</v>
      </c>
      <c r="N5" t="s">
        <v>39</v>
      </c>
      <c r="O5" t="s">
        <v>40</v>
      </c>
      <c r="P5" t="s">
        <v>31</v>
      </c>
      <c r="Q5" t="s">
        <v>33</v>
      </c>
      <c r="R5" t="s">
        <v>32</v>
      </c>
      <c r="S5">
        <v>3604000</v>
      </c>
      <c r="T5" t="s">
        <v>533</v>
      </c>
      <c r="U5">
        <v>1</v>
      </c>
    </row>
    <row r="6" spans="1:21" x14ac:dyDescent="0.25">
      <c r="A6" t="s">
        <v>504</v>
      </c>
      <c r="B6" s="9">
        <v>46137</v>
      </c>
      <c r="C6">
        <v>2026</v>
      </c>
      <c r="D6" t="s">
        <v>68</v>
      </c>
      <c r="E6" t="s">
        <v>554</v>
      </c>
      <c r="F6" t="s">
        <v>35</v>
      </c>
      <c r="G6" t="s">
        <v>80</v>
      </c>
      <c r="H6" t="s">
        <v>81</v>
      </c>
      <c r="I6" t="s">
        <v>37</v>
      </c>
      <c r="J6" t="s">
        <v>115</v>
      </c>
      <c r="K6" t="s">
        <v>81</v>
      </c>
      <c r="L6">
        <v>2707300</v>
      </c>
      <c r="M6">
        <v>0</v>
      </c>
      <c r="N6" t="s">
        <v>29</v>
      </c>
      <c r="O6" t="s">
        <v>52</v>
      </c>
      <c r="P6" t="s">
        <v>31</v>
      </c>
      <c r="Q6" t="s">
        <v>33</v>
      </c>
      <c r="R6" t="s">
        <v>33</v>
      </c>
      <c r="S6">
        <v>49111700</v>
      </c>
      <c r="T6" t="s">
        <v>534</v>
      </c>
      <c r="U6">
        <v>4</v>
      </c>
    </row>
    <row r="7" spans="1:21" x14ac:dyDescent="0.25">
      <c r="A7" t="s">
        <v>48</v>
      </c>
      <c r="B7" s="9">
        <v>46028</v>
      </c>
      <c r="C7">
        <v>2026</v>
      </c>
      <c r="D7" t="s">
        <v>23</v>
      </c>
      <c r="E7" t="s">
        <v>555</v>
      </c>
      <c r="F7" t="s">
        <v>35</v>
      </c>
      <c r="G7" t="s">
        <v>49</v>
      </c>
      <c r="H7" t="s">
        <v>49</v>
      </c>
      <c r="I7" t="s">
        <v>50</v>
      </c>
      <c r="J7" t="s">
        <v>38</v>
      </c>
      <c r="K7" t="s">
        <v>49</v>
      </c>
      <c r="L7">
        <v>2010600</v>
      </c>
      <c r="M7">
        <v>0</v>
      </c>
      <c r="N7" t="s">
        <v>51</v>
      </c>
      <c r="O7" t="s">
        <v>52</v>
      </c>
      <c r="P7" t="s">
        <v>31</v>
      </c>
      <c r="Q7" t="s">
        <v>33</v>
      </c>
      <c r="R7" t="s">
        <v>33</v>
      </c>
      <c r="S7">
        <v>5287800</v>
      </c>
      <c r="T7" t="s">
        <v>533</v>
      </c>
      <c r="U7">
        <v>1</v>
      </c>
    </row>
    <row r="8" spans="1:21" x14ac:dyDescent="0.25">
      <c r="A8" t="s">
        <v>503</v>
      </c>
      <c r="B8" s="9">
        <v>46136</v>
      </c>
      <c r="C8">
        <v>2026</v>
      </c>
      <c r="D8" t="s">
        <v>68</v>
      </c>
      <c r="E8" t="s">
        <v>556</v>
      </c>
      <c r="F8" t="s">
        <v>35</v>
      </c>
      <c r="G8" t="s">
        <v>36</v>
      </c>
      <c r="H8" t="s">
        <v>36</v>
      </c>
      <c r="I8" t="s">
        <v>56</v>
      </c>
      <c r="J8" t="s">
        <v>115</v>
      </c>
      <c r="K8" t="s">
        <v>36</v>
      </c>
      <c r="L8">
        <v>6378500</v>
      </c>
      <c r="M8">
        <v>0</v>
      </c>
      <c r="N8" t="s">
        <v>58</v>
      </c>
      <c r="O8" t="s">
        <v>40</v>
      </c>
      <c r="P8" t="s">
        <v>31</v>
      </c>
      <c r="Q8" t="s">
        <v>33</v>
      </c>
      <c r="R8" t="s">
        <v>33</v>
      </c>
      <c r="S8">
        <v>46404400</v>
      </c>
      <c r="T8" t="s">
        <v>534</v>
      </c>
      <c r="U8">
        <v>4</v>
      </c>
    </row>
    <row r="9" spans="1:21" x14ac:dyDescent="0.25">
      <c r="A9" t="s">
        <v>59</v>
      </c>
      <c r="B9" s="9">
        <v>46030</v>
      </c>
      <c r="C9">
        <v>2026</v>
      </c>
      <c r="D9" t="s">
        <v>23</v>
      </c>
      <c r="E9" t="s">
        <v>556</v>
      </c>
      <c r="F9" t="s">
        <v>35</v>
      </c>
      <c r="G9" t="s">
        <v>49</v>
      </c>
      <c r="H9" t="s">
        <v>49</v>
      </c>
      <c r="I9" t="s">
        <v>37</v>
      </c>
      <c r="J9" t="s">
        <v>28</v>
      </c>
      <c r="K9" t="s">
        <v>49</v>
      </c>
      <c r="L9">
        <v>285200</v>
      </c>
      <c r="M9">
        <v>0</v>
      </c>
      <c r="N9" t="s">
        <v>29</v>
      </c>
      <c r="O9" t="s">
        <v>60</v>
      </c>
      <c r="P9" t="s">
        <v>31</v>
      </c>
      <c r="Q9" t="s">
        <v>32</v>
      </c>
      <c r="R9" t="s">
        <v>32</v>
      </c>
      <c r="S9">
        <v>5062000</v>
      </c>
      <c r="T9" t="s">
        <v>533</v>
      </c>
      <c r="U9">
        <v>1</v>
      </c>
    </row>
    <row r="10" spans="1:21" x14ac:dyDescent="0.25">
      <c r="A10" t="s">
        <v>502</v>
      </c>
      <c r="B10" s="9">
        <v>46135</v>
      </c>
      <c r="C10">
        <v>2026</v>
      </c>
      <c r="D10" t="s">
        <v>42</v>
      </c>
      <c r="E10" t="s">
        <v>557</v>
      </c>
      <c r="F10" t="s">
        <v>35</v>
      </c>
      <c r="G10" t="s">
        <v>95</v>
      </c>
      <c r="H10" t="s">
        <v>96</v>
      </c>
      <c r="I10" t="s">
        <v>27</v>
      </c>
      <c r="J10" t="s">
        <v>38</v>
      </c>
      <c r="K10" t="s">
        <v>96</v>
      </c>
      <c r="L10">
        <v>368100</v>
      </c>
      <c r="M10">
        <v>0</v>
      </c>
      <c r="N10" t="s">
        <v>29</v>
      </c>
      <c r="O10" t="s">
        <v>52</v>
      </c>
      <c r="P10" t="s">
        <v>31</v>
      </c>
      <c r="Q10" t="s">
        <v>33</v>
      </c>
      <c r="R10" t="s">
        <v>33</v>
      </c>
      <c r="S10">
        <v>40025900</v>
      </c>
      <c r="T10" t="s">
        <v>534</v>
      </c>
      <c r="U10">
        <v>4</v>
      </c>
    </row>
    <row r="11" spans="1:21" x14ac:dyDescent="0.25">
      <c r="A11" t="s">
        <v>494</v>
      </c>
      <c r="B11" s="9">
        <v>46126</v>
      </c>
      <c r="C11">
        <v>2026</v>
      </c>
      <c r="D11" t="s">
        <v>68</v>
      </c>
      <c r="E11" t="s">
        <v>556</v>
      </c>
      <c r="F11" t="s">
        <v>35</v>
      </c>
      <c r="G11" t="s">
        <v>80</v>
      </c>
      <c r="H11" t="s">
        <v>81</v>
      </c>
      <c r="I11" t="s">
        <v>50</v>
      </c>
      <c r="J11" t="s">
        <v>92</v>
      </c>
      <c r="K11" t="s">
        <v>81</v>
      </c>
      <c r="L11">
        <v>4191200</v>
      </c>
      <c r="M11">
        <v>0</v>
      </c>
      <c r="N11" t="s">
        <v>29</v>
      </c>
      <c r="O11" t="s">
        <v>40</v>
      </c>
      <c r="P11" t="s">
        <v>31</v>
      </c>
      <c r="Q11" t="s">
        <v>32</v>
      </c>
      <c r="R11" t="s">
        <v>33</v>
      </c>
      <c r="S11">
        <v>47874900</v>
      </c>
      <c r="T11" t="s">
        <v>534</v>
      </c>
      <c r="U11">
        <v>4</v>
      </c>
    </row>
    <row r="12" spans="1:21" x14ac:dyDescent="0.25">
      <c r="A12" t="s">
        <v>490</v>
      </c>
      <c r="B12" s="9">
        <v>46122</v>
      </c>
      <c r="C12">
        <v>2026</v>
      </c>
      <c r="D12" t="s">
        <v>68</v>
      </c>
      <c r="E12" t="s">
        <v>552</v>
      </c>
      <c r="F12" t="s">
        <v>35</v>
      </c>
      <c r="G12" t="s">
        <v>95</v>
      </c>
      <c r="H12" t="s">
        <v>96</v>
      </c>
      <c r="I12" t="s">
        <v>56</v>
      </c>
      <c r="J12" t="s">
        <v>115</v>
      </c>
      <c r="K12" t="s">
        <v>96</v>
      </c>
      <c r="L12">
        <v>395500</v>
      </c>
      <c r="M12">
        <v>0</v>
      </c>
      <c r="N12" t="s">
        <v>51</v>
      </c>
      <c r="O12" t="s">
        <v>47</v>
      </c>
      <c r="P12" t="s">
        <v>31</v>
      </c>
      <c r="Q12" t="s">
        <v>33</v>
      </c>
      <c r="R12" t="s">
        <v>33</v>
      </c>
      <c r="S12">
        <v>47249500</v>
      </c>
      <c r="T12" t="s">
        <v>534</v>
      </c>
      <c r="U12">
        <v>4</v>
      </c>
    </row>
    <row r="13" spans="1:21" x14ac:dyDescent="0.25">
      <c r="A13" t="s">
        <v>489</v>
      </c>
      <c r="B13" s="9">
        <v>46121</v>
      </c>
      <c r="C13">
        <v>2026</v>
      </c>
      <c r="D13" t="s">
        <v>68</v>
      </c>
      <c r="E13" t="s">
        <v>557</v>
      </c>
      <c r="F13" t="s">
        <v>35</v>
      </c>
      <c r="G13" t="s">
        <v>95</v>
      </c>
      <c r="H13" t="s">
        <v>96</v>
      </c>
      <c r="I13" t="s">
        <v>42</v>
      </c>
      <c r="J13" t="s">
        <v>38</v>
      </c>
      <c r="K13" t="s">
        <v>96</v>
      </c>
      <c r="L13">
        <v>1591100</v>
      </c>
      <c r="M13">
        <v>0</v>
      </c>
      <c r="N13" t="s">
        <v>58</v>
      </c>
      <c r="O13" t="s">
        <v>52</v>
      </c>
      <c r="P13" t="s">
        <v>31</v>
      </c>
      <c r="Q13" t="s">
        <v>32</v>
      </c>
      <c r="R13" t="s">
        <v>33</v>
      </c>
      <c r="S13">
        <v>46854000</v>
      </c>
      <c r="T13" t="s">
        <v>534</v>
      </c>
      <c r="U13">
        <v>4</v>
      </c>
    </row>
    <row r="14" spans="1:21" x14ac:dyDescent="0.25">
      <c r="A14" t="s">
        <v>483</v>
      </c>
      <c r="B14" s="9">
        <v>46115</v>
      </c>
      <c r="C14">
        <v>2026</v>
      </c>
      <c r="D14" t="s">
        <v>42</v>
      </c>
      <c r="E14" t="s">
        <v>556</v>
      </c>
      <c r="F14" t="s">
        <v>35</v>
      </c>
      <c r="G14" t="s">
        <v>36</v>
      </c>
      <c r="H14" t="s">
        <v>36</v>
      </c>
      <c r="I14" t="s">
        <v>45</v>
      </c>
      <c r="J14" t="s">
        <v>38</v>
      </c>
      <c r="K14" t="s">
        <v>36</v>
      </c>
      <c r="L14">
        <v>7994400</v>
      </c>
      <c r="M14">
        <v>0</v>
      </c>
      <c r="N14" t="s">
        <v>29</v>
      </c>
      <c r="O14" t="s">
        <v>60</v>
      </c>
      <c r="P14" t="s">
        <v>31</v>
      </c>
      <c r="Q14" t="s">
        <v>32</v>
      </c>
      <c r="R14" t="s">
        <v>33</v>
      </c>
      <c r="S14">
        <v>48865800</v>
      </c>
      <c r="T14" t="s">
        <v>534</v>
      </c>
      <c r="U14">
        <v>4</v>
      </c>
    </row>
    <row r="15" spans="1:21" x14ac:dyDescent="0.25">
      <c r="A15" t="s">
        <v>77</v>
      </c>
      <c r="B15" s="9">
        <v>46037</v>
      </c>
      <c r="C15">
        <v>2026</v>
      </c>
      <c r="D15" t="s">
        <v>68</v>
      </c>
      <c r="E15" t="s">
        <v>557</v>
      </c>
      <c r="F15" t="s">
        <v>35</v>
      </c>
      <c r="G15" t="s">
        <v>49</v>
      </c>
      <c r="H15" t="s">
        <v>49</v>
      </c>
      <c r="I15" t="s">
        <v>27</v>
      </c>
      <c r="J15" t="s">
        <v>78</v>
      </c>
      <c r="K15" t="s">
        <v>49</v>
      </c>
      <c r="L15">
        <v>3243500</v>
      </c>
      <c r="M15">
        <v>0</v>
      </c>
      <c r="N15" t="s">
        <v>29</v>
      </c>
      <c r="O15" t="s">
        <v>40</v>
      </c>
      <c r="P15" t="s">
        <v>31</v>
      </c>
      <c r="Q15" t="s">
        <v>33</v>
      </c>
      <c r="R15" t="s">
        <v>33</v>
      </c>
      <c r="S15">
        <v>1539400</v>
      </c>
      <c r="T15" t="s">
        <v>533</v>
      </c>
      <c r="U15">
        <v>1</v>
      </c>
    </row>
    <row r="16" spans="1:21" x14ac:dyDescent="0.25">
      <c r="A16" t="s">
        <v>79</v>
      </c>
      <c r="B16" s="9">
        <v>46039</v>
      </c>
      <c r="C16">
        <v>2026</v>
      </c>
      <c r="D16" t="s">
        <v>23</v>
      </c>
      <c r="E16" t="s">
        <v>553</v>
      </c>
      <c r="F16" t="s">
        <v>35</v>
      </c>
      <c r="G16" t="s">
        <v>80</v>
      </c>
      <c r="H16" t="s">
        <v>81</v>
      </c>
      <c r="I16" t="s">
        <v>27</v>
      </c>
      <c r="J16" t="s">
        <v>57</v>
      </c>
      <c r="K16" t="s">
        <v>81</v>
      </c>
      <c r="L16">
        <v>7716800</v>
      </c>
      <c r="M16">
        <v>0</v>
      </c>
      <c r="N16" t="s">
        <v>29</v>
      </c>
      <c r="O16" t="s">
        <v>40</v>
      </c>
      <c r="P16" t="s">
        <v>31</v>
      </c>
      <c r="Q16" t="s">
        <v>33</v>
      </c>
      <c r="R16" t="s">
        <v>33</v>
      </c>
      <c r="S16">
        <v>9256200</v>
      </c>
      <c r="T16" t="s">
        <v>533</v>
      </c>
      <c r="U16">
        <v>1</v>
      </c>
    </row>
    <row r="17" spans="1:21" x14ac:dyDescent="0.25">
      <c r="A17" t="s">
        <v>82</v>
      </c>
      <c r="B17" s="9">
        <v>46040</v>
      </c>
      <c r="C17">
        <v>2026</v>
      </c>
      <c r="D17" t="s">
        <v>42</v>
      </c>
      <c r="E17" t="s">
        <v>556</v>
      </c>
      <c r="F17" t="s">
        <v>35</v>
      </c>
      <c r="G17" t="s">
        <v>49</v>
      </c>
      <c r="H17" t="s">
        <v>49</v>
      </c>
      <c r="I17" t="s">
        <v>56</v>
      </c>
      <c r="J17" t="s">
        <v>46</v>
      </c>
      <c r="K17" t="s">
        <v>49</v>
      </c>
      <c r="L17">
        <v>2319300</v>
      </c>
      <c r="M17">
        <v>0</v>
      </c>
      <c r="N17" t="s">
        <v>51</v>
      </c>
      <c r="O17" t="s">
        <v>30</v>
      </c>
      <c r="P17" t="s">
        <v>31</v>
      </c>
      <c r="Q17" t="s">
        <v>33</v>
      </c>
      <c r="R17" t="s">
        <v>33</v>
      </c>
      <c r="S17">
        <v>11575500</v>
      </c>
      <c r="T17" t="s">
        <v>533</v>
      </c>
      <c r="U17">
        <v>1</v>
      </c>
    </row>
    <row r="18" spans="1:21" x14ac:dyDescent="0.25">
      <c r="A18" t="s">
        <v>478</v>
      </c>
      <c r="B18" s="9">
        <v>46110</v>
      </c>
      <c r="C18">
        <v>2026</v>
      </c>
      <c r="D18" t="s">
        <v>23</v>
      </c>
      <c r="E18" t="s">
        <v>556</v>
      </c>
      <c r="F18" t="s">
        <v>35</v>
      </c>
      <c r="G18" t="s">
        <v>49</v>
      </c>
      <c r="H18" t="s">
        <v>49</v>
      </c>
      <c r="I18" t="s">
        <v>42</v>
      </c>
      <c r="J18" t="s">
        <v>57</v>
      </c>
      <c r="K18" t="s">
        <v>49</v>
      </c>
      <c r="L18">
        <v>5344700</v>
      </c>
      <c r="M18">
        <v>0</v>
      </c>
      <c r="N18" t="s">
        <v>51</v>
      </c>
      <c r="O18" t="s">
        <v>76</v>
      </c>
      <c r="P18" t="s">
        <v>31</v>
      </c>
      <c r="Q18" t="s">
        <v>32</v>
      </c>
      <c r="R18" t="s">
        <v>33</v>
      </c>
      <c r="S18">
        <v>45573400</v>
      </c>
      <c r="T18" t="s">
        <v>535</v>
      </c>
      <c r="U18">
        <v>3</v>
      </c>
    </row>
    <row r="19" spans="1:21" x14ac:dyDescent="0.25">
      <c r="A19" t="s">
        <v>471</v>
      </c>
      <c r="B19" s="9">
        <v>46101</v>
      </c>
      <c r="C19">
        <v>2026</v>
      </c>
      <c r="D19" t="s">
        <v>42</v>
      </c>
      <c r="E19" t="s">
        <v>554</v>
      </c>
      <c r="F19" t="s">
        <v>35</v>
      </c>
      <c r="G19" t="s">
        <v>80</v>
      </c>
      <c r="H19" t="s">
        <v>81</v>
      </c>
      <c r="I19" t="s">
        <v>50</v>
      </c>
      <c r="J19" t="s">
        <v>87</v>
      </c>
      <c r="K19" t="s">
        <v>81</v>
      </c>
      <c r="L19">
        <v>6720700</v>
      </c>
      <c r="M19">
        <v>0</v>
      </c>
      <c r="N19" t="s">
        <v>51</v>
      </c>
      <c r="O19" t="s">
        <v>40</v>
      </c>
      <c r="P19" t="s">
        <v>31</v>
      </c>
      <c r="Q19" t="s">
        <v>33</v>
      </c>
      <c r="R19" t="s">
        <v>32</v>
      </c>
      <c r="S19">
        <v>46191300</v>
      </c>
      <c r="T19" t="s">
        <v>535</v>
      </c>
      <c r="U19">
        <v>3</v>
      </c>
    </row>
    <row r="20" spans="1:21" x14ac:dyDescent="0.25">
      <c r="A20" t="s">
        <v>470</v>
      </c>
      <c r="B20" s="9">
        <v>46100</v>
      </c>
      <c r="C20">
        <v>2026</v>
      </c>
      <c r="D20" t="s">
        <v>68</v>
      </c>
      <c r="E20" t="s">
        <v>554</v>
      </c>
      <c r="F20" t="s">
        <v>35</v>
      </c>
      <c r="G20" t="s">
        <v>49</v>
      </c>
      <c r="H20" t="s">
        <v>49</v>
      </c>
      <c r="I20" t="s">
        <v>27</v>
      </c>
      <c r="J20" t="s">
        <v>87</v>
      </c>
      <c r="K20" t="s">
        <v>49</v>
      </c>
      <c r="L20">
        <v>5946700</v>
      </c>
      <c r="M20">
        <v>0</v>
      </c>
      <c r="N20" t="s">
        <v>29</v>
      </c>
      <c r="O20" t="s">
        <v>109</v>
      </c>
      <c r="P20" t="s">
        <v>31</v>
      </c>
      <c r="Q20" t="s">
        <v>32</v>
      </c>
      <c r="R20" t="s">
        <v>33</v>
      </c>
      <c r="S20">
        <v>39470600</v>
      </c>
      <c r="T20" t="s">
        <v>535</v>
      </c>
      <c r="U20">
        <v>3</v>
      </c>
    </row>
    <row r="21" spans="1:21" x14ac:dyDescent="0.25">
      <c r="A21" t="s">
        <v>464</v>
      </c>
      <c r="B21" s="9">
        <v>46094</v>
      </c>
      <c r="C21">
        <v>2026</v>
      </c>
      <c r="D21" t="s">
        <v>23</v>
      </c>
      <c r="E21" t="s">
        <v>556</v>
      </c>
      <c r="F21" t="s">
        <v>35</v>
      </c>
      <c r="G21" t="s">
        <v>95</v>
      </c>
      <c r="H21" t="s">
        <v>96</v>
      </c>
      <c r="I21" t="s">
        <v>45</v>
      </c>
      <c r="J21" t="s">
        <v>64</v>
      </c>
      <c r="K21" t="s">
        <v>96</v>
      </c>
      <c r="L21">
        <v>6882400</v>
      </c>
      <c r="M21">
        <v>0</v>
      </c>
      <c r="N21" t="s">
        <v>29</v>
      </c>
      <c r="O21" t="s">
        <v>66</v>
      </c>
      <c r="P21" t="s">
        <v>31</v>
      </c>
      <c r="Q21" t="s">
        <v>33</v>
      </c>
      <c r="R21" t="s">
        <v>33</v>
      </c>
      <c r="S21">
        <v>38156400</v>
      </c>
      <c r="T21" t="s">
        <v>535</v>
      </c>
      <c r="U21">
        <v>3</v>
      </c>
    </row>
    <row r="22" spans="1:21" x14ac:dyDescent="0.25">
      <c r="A22" t="s">
        <v>88</v>
      </c>
      <c r="B22" s="9">
        <v>46045</v>
      </c>
      <c r="C22">
        <v>2026</v>
      </c>
      <c r="D22" t="s">
        <v>42</v>
      </c>
      <c r="E22" t="s">
        <v>553</v>
      </c>
      <c r="F22" t="s">
        <v>35</v>
      </c>
      <c r="G22" t="s">
        <v>36</v>
      </c>
      <c r="H22" t="s">
        <v>36</v>
      </c>
      <c r="I22" t="s">
        <v>42</v>
      </c>
      <c r="J22" t="s">
        <v>28</v>
      </c>
      <c r="K22" t="s">
        <v>36</v>
      </c>
      <c r="L22">
        <v>7960900</v>
      </c>
      <c r="M22">
        <v>0</v>
      </c>
      <c r="N22" t="s">
        <v>51</v>
      </c>
      <c r="O22" t="s">
        <v>40</v>
      </c>
      <c r="P22" t="s">
        <v>31</v>
      </c>
      <c r="Q22" t="s">
        <v>33</v>
      </c>
      <c r="R22" t="s">
        <v>33</v>
      </c>
      <c r="S22">
        <v>15236000</v>
      </c>
      <c r="T22" t="s">
        <v>533</v>
      </c>
      <c r="U22">
        <v>1</v>
      </c>
    </row>
    <row r="23" spans="1:21" x14ac:dyDescent="0.25">
      <c r="A23" t="s">
        <v>463</v>
      </c>
      <c r="B23" s="9">
        <v>46093</v>
      </c>
      <c r="C23">
        <v>2026</v>
      </c>
      <c r="D23" t="s">
        <v>68</v>
      </c>
      <c r="E23" t="s">
        <v>556</v>
      </c>
      <c r="F23" t="s">
        <v>35</v>
      </c>
      <c r="G23" t="s">
        <v>80</v>
      </c>
      <c r="H23" t="s">
        <v>81</v>
      </c>
      <c r="I23" t="s">
        <v>37</v>
      </c>
      <c r="J23" t="s">
        <v>46</v>
      </c>
      <c r="K23" t="s">
        <v>81</v>
      </c>
      <c r="L23">
        <v>6763900</v>
      </c>
      <c r="M23">
        <v>0</v>
      </c>
      <c r="N23" t="s">
        <v>58</v>
      </c>
      <c r="O23" t="s">
        <v>72</v>
      </c>
      <c r="P23" t="s">
        <v>31</v>
      </c>
      <c r="Q23" t="s">
        <v>32</v>
      </c>
      <c r="R23" t="s">
        <v>33</v>
      </c>
      <c r="S23">
        <v>31274000</v>
      </c>
      <c r="T23" t="s">
        <v>535</v>
      </c>
      <c r="U23">
        <v>3</v>
      </c>
    </row>
    <row r="24" spans="1:21" x14ac:dyDescent="0.25">
      <c r="A24" t="s">
        <v>462</v>
      </c>
      <c r="B24" s="9">
        <v>46092</v>
      </c>
      <c r="C24">
        <v>2026</v>
      </c>
      <c r="D24" t="s">
        <v>23</v>
      </c>
      <c r="E24" t="s">
        <v>557</v>
      </c>
      <c r="F24" t="s">
        <v>35</v>
      </c>
      <c r="G24" t="s">
        <v>80</v>
      </c>
      <c r="H24" t="s">
        <v>81</v>
      </c>
      <c r="I24" t="s">
        <v>42</v>
      </c>
      <c r="J24" t="s">
        <v>78</v>
      </c>
      <c r="K24" t="s">
        <v>81</v>
      </c>
      <c r="L24">
        <v>3986300</v>
      </c>
      <c r="M24">
        <v>0</v>
      </c>
      <c r="N24" t="s">
        <v>58</v>
      </c>
      <c r="O24" t="s">
        <v>109</v>
      </c>
      <c r="P24" t="s">
        <v>31</v>
      </c>
      <c r="Q24" t="s">
        <v>33</v>
      </c>
      <c r="R24" t="s">
        <v>33</v>
      </c>
      <c r="S24">
        <v>24510100</v>
      </c>
      <c r="T24" t="s">
        <v>535</v>
      </c>
      <c r="U24">
        <v>3</v>
      </c>
    </row>
    <row r="25" spans="1:21" x14ac:dyDescent="0.25">
      <c r="A25" t="s">
        <v>459</v>
      </c>
      <c r="B25" s="9">
        <v>46089</v>
      </c>
      <c r="C25">
        <v>2026</v>
      </c>
      <c r="D25" t="s">
        <v>42</v>
      </c>
      <c r="E25" t="s">
        <v>554</v>
      </c>
      <c r="F25" t="s">
        <v>35</v>
      </c>
      <c r="G25" t="s">
        <v>80</v>
      </c>
      <c r="H25" t="s">
        <v>81</v>
      </c>
      <c r="I25" t="s">
        <v>50</v>
      </c>
      <c r="J25" t="s">
        <v>78</v>
      </c>
      <c r="K25" t="s">
        <v>81</v>
      </c>
      <c r="L25">
        <v>7537700</v>
      </c>
      <c r="M25">
        <v>0</v>
      </c>
      <c r="N25" t="s">
        <v>58</v>
      </c>
      <c r="O25" t="s">
        <v>60</v>
      </c>
      <c r="P25" t="s">
        <v>31</v>
      </c>
      <c r="Q25" t="s">
        <v>33</v>
      </c>
      <c r="R25" t="s">
        <v>32</v>
      </c>
      <c r="S25">
        <v>22167100</v>
      </c>
      <c r="T25" t="s">
        <v>535</v>
      </c>
      <c r="U25">
        <v>3</v>
      </c>
    </row>
    <row r="26" spans="1:21" x14ac:dyDescent="0.25">
      <c r="A26" t="s">
        <v>453</v>
      </c>
      <c r="B26" s="9">
        <v>46082</v>
      </c>
      <c r="C26">
        <v>2026</v>
      </c>
      <c r="D26" t="s">
        <v>42</v>
      </c>
      <c r="E26" t="s">
        <v>556</v>
      </c>
      <c r="F26" t="s">
        <v>35</v>
      </c>
      <c r="G26" t="s">
        <v>80</v>
      </c>
      <c r="H26" t="s">
        <v>81</v>
      </c>
      <c r="I26" t="s">
        <v>42</v>
      </c>
      <c r="J26" t="s">
        <v>87</v>
      </c>
      <c r="K26" t="s">
        <v>81</v>
      </c>
      <c r="L26">
        <v>4629400</v>
      </c>
      <c r="M26">
        <v>0</v>
      </c>
      <c r="N26" t="s">
        <v>51</v>
      </c>
      <c r="O26" t="s">
        <v>66</v>
      </c>
      <c r="P26" t="s">
        <v>31</v>
      </c>
      <c r="Q26" t="s">
        <v>33</v>
      </c>
      <c r="R26" t="s">
        <v>33</v>
      </c>
      <c r="S26">
        <v>18662100</v>
      </c>
      <c r="T26" t="s">
        <v>535</v>
      </c>
      <c r="U26">
        <v>3</v>
      </c>
    </row>
    <row r="27" spans="1:21" x14ac:dyDescent="0.25">
      <c r="A27" t="s">
        <v>94</v>
      </c>
      <c r="B27" s="9">
        <v>46050</v>
      </c>
      <c r="C27">
        <v>2026</v>
      </c>
      <c r="D27" t="s">
        <v>42</v>
      </c>
      <c r="E27" t="s">
        <v>557</v>
      </c>
      <c r="F27" t="s">
        <v>35</v>
      </c>
      <c r="G27" t="s">
        <v>95</v>
      </c>
      <c r="H27" t="s">
        <v>96</v>
      </c>
      <c r="I27" t="s">
        <v>27</v>
      </c>
      <c r="J27" t="s">
        <v>87</v>
      </c>
      <c r="K27" t="s">
        <v>96</v>
      </c>
      <c r="L27">
        <v>1029400</v>
      </c>
      <c r="M27">
        <v>0</v>
      </c>
      <c r="N27" t="s">
        <v>39</v>
      </c>
      <c r="O27" t="s">
        <v>52</v>
      </c>
      <c r="P27" t="s">
        <v>31</v>
      </c>
      <c r="Q27" t="s">
        <v>33</v>
      </c>
      <c r="R27" t="s">
        <v>32</v>
      </c>
      <c r="S27">
        <v>12474000</v>
      </c>
      <c r="T27" t="s">
        <v>533</v>
      </c>
      <c r="U27">
        <v>1</v>
      </c>
    </row>
    <row r="28" spans="1:21" x14ac:dyDescent="0.25">
      <c r="A28" t="s">
        <v>446</v>
      </c>
      <c r="B28" s="9">
        <v>46074</v>
      </c>
      <c r="C28">
        <v>2026</v>
      </c>
      <c r="D28" t="s">
        <v>68</v>
      </c>
      <c r="E28" t="s">
        <v>556</v>
      </c>
      <c r="F28" t="s">
        <v>35</v>
      </c>
      <c r="G28" t="s">
        <v>36</v>
      </c>
      <c r="H28" t="s">
        <v>36</v>
      </c>
      <c r="I28" t="s">
        <v>45</v>
      </c>
      <c r="J28" t="s">
        <v>64</v>
      </c>
      <c r="K28" t="s">
        <v>36</v>
      </c>
      <c r="L28">
        <v>2248900</v>
      </c>
      <c r="M28">
        <v>0</v>
      </c>
      <c r="N28" t="s">
        <v>29</v>
      </c>
      <c r="O28" t="s">
        <v>40</v>
      </c>
      <c r="P28" t="s">
        <v>31</v>
      </c>
      <c r="Q28" t="s">
        <v>33</v>
      </c>
      <c r="R28" t="s">
        <v>33</v>
      </c>
      <c r="S28">
        <v>18413100</v>
      </c>
      <c r="T28" t="s">
        <v>536</v>
      </c>
      <c r="U28">
        <v>2</v>
      </c>
    </row>
    <row r="29" spans="1:21" x14ac:dyDescent="0.25">
      <c r="A29" t="s">
        <v>99</v>
      </c>
      <c r="B29" s="9">
        <v>46052</v>
      </c>
      <c r="C29">
        <v>2026</v>
      </c>
      <c r="D29" t="s">
        <v>68</v>
      </c>
      <c r="E29" t="s">
        <v>553</v>
      </c>
      <c r="F29" t="s">
        <v>35</v>
      </c>
      <c r="G29" t="s">
        <v>80</v>
      </c>
      <c r="H29" t="s">
        <v>81</v>
      </c>
      <c r="I29" t="s">
        <v>50</v>
      </c>
      <c r="J29" t="s">
        <v>78</v>
      </c>
      <c r="K29" t="s">
        <v>81</v>
      </c>
      <c r="L29">
        <v>3006700</v>
      </c>
      <c r="M29">
        <v>0</v>
      </c>
      <c r="N29" t="s">
        <v>51</v>
      </c>
      <c r="O29" t="s">
        <v>72</v>
      </c>
      <c r="P29" t="s">
        <v>31</v>
      </c>
      <c r="Q29" t="s">
        <v>33</v>
      </c>
      <c r="R29" t="s">
        <v>33</v>
      </c>
      <c r="S29">
        <v>15270200</v>
      </c>
      <c r="T29" t="s">
        <v>533</v>
      </c>
      <c r="U29">
        <v>1</v>
      </c>
    </row>
    <row r="30" spans="1:21" x14ac:dyDescent="0.25">
      <c r="A30" t="s">
        <v>444</v>
      </c>
      <c r="B30" s="9">
        <v>46070</v>
      </c>
      <c r="C30">
        <v>2026</v>
      </c>
      <c r="D30" t="s">
        <v>42</v>
      </c>
      <c r="E30" t="s">
        <v>555</v>
      </c>
      <c r="F30" t="s">
        <v>35</v>
      </c>
      <c r="G30" t="s">
        <v>80</v>
      </c>
      <c r="H30" t="s">
        <v>81</v>
      </c>
      <c r="I30" t="s">
        <v>27</v>
      </c>
      <c r="J30" t="s">
        <v>92</v>
      </c>
      <c r="K30" t="s">
        <v>81</v>
      </c>
      <c r="L30">
        <v>3060400</v>
      </c>
      <c r="M30">
        <v>0</v>
      </c>
      <c r="N30" t="s">
        <v>58</v>
      </c>
      <c r="O30" t="s">
        <v>76</v>
      </c>
      <c r="P30" t="s">
        <v>31</v>
      </c>
      <c r="Q30" t="s">
        <v>33</v>
      </c>
      <c r="R30" t="s">
        <v>33</v>
      </c>
      <c r="S30">
        <v>16296200</v>
      </c>
      <c r="T30" t="s">
        <v>536</v>
      </c>
      <c r="U30">
        <v>2</v>
      </c>
    </row>
    <row r="31" spans="1:21" x14ac:dyDescent="0.25">
      <c r="A31" t="s">
        <v>103</v>
      </c>
      <c r="B31" s="9">
        <v>46055</v>
      </c>
      <c r="C31">
        <v>2026</v>
      </c>
      <c r="D31" t="s">
        <v>68</v>
      </c>
      <c r="E31" t="s">
        <v>555</v>
      </c>
      <c r="F31" t="s">
        <v>35</v>
      </c>
      <c r="G31" t="s">
        <v>95</v>
      </c>
      <c r="H31" t="s">
        <v>96</v>
      </c>
      <c r="I31" t="s">
        <v>56</v>
      </c>
      <c r="J31" t="s">
        <v>78</v>
      </c>
      <c r="K31" t="s">
        <v>96</v>
      </c>
      <c r="L31">
        <v>5853400</v>
      </c>
      <c r="M31">
        <v>0</v>
      </c>
      <c r="N31" t="s">
        <v>29</v>
      </c>
      <c r="O31" t="s">
        <v>40</v>
      </c>
      <c r="P31" t="s">
        <v>31</v>
      </c>
      <c r="Q31" t="s">
        <v>33</v>
      </c>
      <c r="R31" t="s">
        <v>33</v>
      </c>
      <c r="S31">
        <v>19217900</v>
      </c>
      <c r="T31" t="s">
        <v>536</v>
      </c>
      <c r="U31">
        <v>2</v>
      </c>
    </row>
    <row r="32" spans="1:21" x14ac:dyDescent="0.25">
      <c r="A32" t="s">
        <v>436</v>
      </c>
      <c r="B32" s="9">
        <v>46062</v>
      </c>
      <c r="C32">
        <v>2026</v>
      </c>
      <c r="D32" t="s">
        <v>42</v>
      </c>
      <c r="E32" t="s">
        <v>557</v>
      </c>
      <c r="F32" t="s">
        <v>35</v>
      </c>
      <c r="G32" t="s">
        <v>80</v>
      </c>
      <c r="H32" t="s">
        <v>81</v>
      </c>
      <c r="I32" t="s">
        <v>27</v>
      </c>
      <c r="J32" t="s">
        <v>92</v>
      </c>
      <c r="K32" t="s">
        <v>81</v>
      </c>
      <c r="L32">
        <v>1309600</v>
      </c>
      <c r="M32">
        <v>0</v>
      </c>
      <c r="N32" t="s">
        <v>39</v>
      </c>
      <c r="O32" t="s">
        <v>109</v>
      </c>
      <c r="P32" t="s">
        <v>31</v>
      </c>
      <c r="Q32" t="s">
        <v>33</v>
      </c>
      <c r="R32" t="s">
        <v>33</v>
      </c>
      <c r="S32">
        <v>22529600</v>
      </c>
      <c r="T32" t="s">
        <v>536</v>
      </c>
      <c r="U32">
        <v>2</v>
      </c>
    </row>
    <row r="33" spans="1:21" x14ac:dyDescent="0.25">
      <c r="A33" t="s">
        <v>435</v>
      </c>
      <c r="B33" s="9">
        <v>46061</v>
      </c>
      <c r="C33">
        <v>2026</v>
      </c>
      <c r="D33" t="s">
        <v>42</v>
      </c>
      <c r="E33" t="s">
        <v>556</v>
      </c>
      <c r="F33" t="s">
        <v>35</v>
      </c>
      <c r="G33" t="s">
        <v>80</v>
      </c>
      <c r="H33" t="s">
        <v>81</v>
      </c>
      <c r="I33" t="s">
        <v>27</v>
      </c>
      <c r="J33" t="s">
        <v>92</v>
      </c>
      <c r="K33" t="s">
        <v>81</v>
      </c>
      <c r="L33">
        <v>1806600</v>
      </c>
      <c r="M33">
        <v>0</v>
      </c>
      <c r="N33" t="s">
        <v>51</v>
      </c>
      <c r="O33" t="s">
        <v>52</v>
      </c>
      <c r="P33" t="s">
        <v>31</v>
      </c>
      <c r="Q33" t="s">
        <v>32</v>
      </c>
      <c r="R33" t="s">
        <v>33</v>
      </c>
      <c r="S33">
        <v>21220000</v>
      </c>
      <c r="T33" t="s">
        <v>536</v>
      </c>
      <c r="U33">
        <v>2</v>
      </c>
    </row>
    <row r="34" spans="1:21" x14ac:dyDescent="0.25">
      <c r="A34" t="s">
        <v>432</v>
      </c>
      <c r="B34" s="9">
        <v>46055</v>
      </c>
      <c r="C34">
        <v>2026</v>
      </c>
      <c r="D34" t="s">
        <v>23</v>
      </c>
      <c r="E34" t="s">
        <v>557</v>
      </c>
      <c r="F34" t="s">
        <v>35</v>
      </c>
      <c r="G34" t="s">
        <v>95</v>
      </c>
      <c r="H34" t="s">
        <v>96</v>
      </c>
      <c r="I34" t="s">
        <v>42</v>
      </c>
      <c r="J34" t="s">
        <v>87</v>
      </c>
      <c r="K34" t="s">
        <v>96</v>
      </c>
      <c r="L34">
        <v>595600</v>
      </c>
      <c r="M34">
        <v>0</v>
      </c>
      <c r="N34" t="s">
        <v>29</v>
      </c>
      <c r="O34" t="s">
        <v>47</v>
      </c>
      <c r="P34" t="s">
        <v>31</v>
      </c>
      <c r="Q34" t="s">
        <v>33</v>
      </c>
      <c r="R34" t="s">
        <v>33</v>
      </c>
      <c r="S34">
        <v>21397100</v>
      </c>
      <c r="T34" t="s">
        <v>536</v>
      </c>
      <c r="U34">
        <v>2</v>
      </c>
    </row>
    <row r="35" spans="1:21" x14ac:dyDescent="0.25">
      <c r="A35" t="s">
        <v>430</v>
      </c>
      <c r="B35" s="9">
        <v>46053</v>
      </c>
      <c r="C35">
        <v>2026</v>
      </c>
      <c r="D35" t="s">
        <v>42</v>
      </c>
      <c r="E35" t="s">
        <v>557</v>
      </c>
      <c r="F35" t="s">
        <v>35</v>
      </c>
      <c r="G35" t="s">
        <v>95</v>
      </c>
      <c r="H35" t="s">
        <v>96</v>
      </c>
      <c r="I35" t="s">
        <v>42</v>
      </c>
      <c r="J35" t="s">
        <v>92</v>
      </c>
      <c r="K35" t="s">
        <v>96</v>
      </c>
      <c r="L35">
        <v>4638800</v>
      </c>
      <c r="M35">
        <v>0</v>
      </c>
      <c r="N35" t="s">
        <v>29</v>
      </c>
      <c r="O35" t="s">
        <v>66</v>
      </c>
      <c r="P35" t="s">
        <v>31</v>
      </c>
      <c r="Q35" t="s">
        <v>33</v>
      </c>
      <c r="R35" t="s">
        <v>33</v>
      </c>
      <c r="S35">
        <v>20958900</v>
      </c>
      <c r="T35" t="s">
        <v>533</v>
      </c>
      <c r="U35">
        <v>1</v>
      </c>
    </row>
    <row r="36" spans="1:21" x14ac:dyDescent="0.25">
      <c r="A36" t="s">
        <v>426</v>
      </c>
      <c r="B36" s="9">
        <v>46049</v>
      </c>
      <c r="C36">
        <v>2026</v>
      </c>
      <c r="D36" t="s">
        <v>68</v>
      </c>
      <c r="E36" t="s">
        <v>554</v>
      </c>
      <c r="F36" t="s">
        <v>35</v>
      </c>
      <c r="G36" t="s">
        <v>49</v>
      </c>
      <c r="H36" t="s">
        <v>49</v>
      </c>
      <c r="I36" t="s">
        <v>37</v>
      </c>
      <c r="J36" t="s">
        <v>57</v>
      </c>
      <c r="K36" t="s">
        <v>49</v>
      </c>
      <c r="L36">
        <v>7122800</v>
      </c>
      <c r="M36">
        <v>0</v>
      </c>
      <c r="N36" t="s">
        <v>29</v>
      </c>
      <c r="O36" t="s">
        <v>60</v>
      </c>
      <c r="P36" t="s">
        <v>31</v>
      </c>
      <c r="Q36" t="s">
        <v>32</v>
      </c>
      <c r="R36" t="s">
        <v>32</v>
      </c>
      <c r="S36">
        <v>19680500</v>
      </c>
      <c r="T36" t="s">
        <v>533</v>
      </c>
      <c r="U36">
        <v>1</v>
      </c>
    </row>
    <row r="37" spans="1:21" x14ac:dyDescent="0.25">
      <c r="A37" t="s">
        <v>112</v>
      </c>
      <c r="B37" s="9">
        <v>46061</v>
      </c>
      <c r="C37">
        <v>2026</v>
      </c>
      <c r="D37" t="s">
        <v>68</v>
      </c>
      <c r="E37" t="s">
        <v>556</v>
      </c>
      <c r="F37" t="s">
        <v>35</v>
      </c>
      <c r="G37" t="s">
        <v>80</v>
      </c>
      <c r="H37" t="s">
        <v>81</v>
      </c>
      <c r="I37" t="s">
        <v>42</v>
      </c>
      <c r="J37" t="s">
        <v>64</v>
      </c>
      <c r="K37" t="s">
        <v>81</v>
      </c>
      <c r="L37">
        <v>1460200</v>
      </c>
      <c r="M37">
        <v>0</v>
      </c>
      <c r="N37" t="s">
        <v>39</v>
      </c>
      <c r="O37" t="s">
        <v>52</v>
      </c>
      <c r="P37" t="s">
        <v>31</v>
      </c>
      <c r="Q37" t="s">
        <v>33</v>
      </c>
      <c r="R37" t="s">
        <v>32</v>
      </c>
      <c r="S37">
        <v>16054200</v>
      </c>
      <c r="T37" t="s">
        <v>536</v>
      </c>
      <c r="U37">
        <v>2</v>
      </c>
    </row>
    <row r="38" spans="1:21" x14ac:dyDescent="0.25">
      <c r="A38" t="s">
        <v>113</v>
      </c>
      <c r="B38" s="9">
        <v>46062</v>
      </c>
      <c r="C38">
        <v>2026</v>
      </c>
      <c r="D38" t="s">
        <v>42</v>
      </c>
      <c r="E38" t="s">
        <v>553</v>
      </c>
      <c r="F38" t="s">
        <v>35</v>
      </c>
      <c r="G38" t="s">
        <v>95</v>
      </c>
      <c r="H38" t="s">
        <v>96</v>
      </c>
      <c r="I38" t="s">
        <v>50</v>
      </c>
      <c r="J38" t="s">
        <v>57</v>
      </c>
      <c r="K38" t="s">
        <v>96</v>
      </c>
      <c r="L38">
        <v>4668600</v>
      </c>
      <c r="M38">
        <v>0</v>
      </c>
      <c r="N38" t="s">
        <v>58</v>
      </c>
      <c r="O38" t="s">
        <v>109</v>
      </c>
      <c r="P38" t="s">
        <v>31</v>
      </c>
      <c r="Q38" t="s">
        <v>32</v>
      </c>
      <c r="R38" t="s">
        <v>33</v>
      </c>
      <c r="S38">
        <v>20722800</v>
      </c>
      <c r="T38" t="s">
        <v>536</v>
      </c>
      <c r="U38">
        <v>2</v>
      </c>
    </row>
    <row r="39" spans="1:21" x14ac:dyDescent="0.25">
      <c r="A39" t="s">
        <v>114</v>
      </c>
      <c r="B39" s="9">
        <v>46063</v>
      </c>
      <c r="C39">
        <v>2026</v>
      </c>
      <c r="D39" t="s">
        <v>68</v>
      </c>
      <c r="E39" t="s">
        <v>556</v>
      </c>
      <c r="F39" t="s">
        <v>35</v>
      </c>
      <c r="G39" t="s">
        <v>95</v>
      </c>
      <c r="H39" t="s">
        <v>96</v>
      </c>
      <c r="I39" t="s">
        <v>50</v>
      </c>
      <c r="J39" t="s">
        <v>115</v>
      </c>
      <c r="K39" t="s">
        <v>96</v>
      </c>
      <c r="L39">
        <v>3202600</v>
      </c>
      <c r="M39">
        <v>0</v>
      </c>
      <c r="N39" t="s">
        <v>29</v>
      </c>
      <c r="O39" t="s">
        <v>30</v>
      </c>
      <c r="P39" t="s">
        <v>31</v>
      </c>
      <c r="Q39" t="s">
        <v>33</v>
      </c>
      <c r="R39" t="s">
        <v>33</v>
      </c>
      <c r="S39">
        <v>23925400</v>
      </c>
      <c r="T39" t="s">
        <v>536</v>
      </c>
      <c r="U39">
        <v>2</v>
      </c>
    </row>
    <row r="40" spans="1:21" x14ac:dyDescent="0.25">
      <c r="A40" t="s">
        <v>425</v>
      </c>
      <c r="B40" s="9">
        <v>46048</v>
      </c>
      <c r="C40">
        <v>2026</v>
      </c>
      <c r="D40" t="s">
        <v>23</v>
      </c>
      <c r="E40" t="s">
        <v>557</v>
      </c>
      <c r="F40" t="s">
        <v>35</v>
      </c>
      <c r="G40" t="s">
        <v>49</v>
      </c>
      <c r="H40" t="s">
        <v>49</v>
      </c>
      <c r="I40" t="s">
        <v>27</v>
      </c>
      <c r="J40" t="s">
        <v>38</v>
      </c>
      <c r="K40" t="s">
        <v>49</v>
      </c>
      <c r="L40">
        <v>5034000</v>
      </c>
      <c r="M40">
        <v>0</v>
      </c>
      <c r="N40" t="s">
        <v>29</v>
      </c>
      <c r="O40" t="s">
        <v>30</v>
      </c>
      <c r="P40" t="s">
        <v>31</v>
      </c>
      <c r="Q40" t="s">
        <v>33</v>
      </c>
      <c r="R40" t="s">
        <v>33</v>
      </c>
      <c r="S40">
        <v>12557700</v>
      </c>
      <c r="T40" t="s">
        <v>533</v>
      </c>
      <c r="U40">
        <v>1</v>
      </c>
    </row>
    <row r="41" spans="1:21" x14ac:dyDescent="0.25">
      <c r="A41" t="s">
        <v>418</v>
      </c>
      <c r="B41" s="9">
        <v>46041</v>
      </c>
      <c r="C41">
        <v>2026</v>
      </c>
      <c r="D41" t="s">
        <v>23</v>
      </c>
      <c r="E41" t="s">
        <v>553</v>
      </c>
      <c r="F41" t="s">
        <v>35</v>
      </c>
      <c r="G41" t="s">
        <v>95</v>
      </c>
      <c r="H41" t="s">
        <v>96</v>
      </c>
      <c r="I41" t="s">
        <v>37</v>
      </c>
      <c r="J41" t="s">
        <v>87</v>
      </c>
      <c r="K41" t="s">
        <v>96</v>
      </c>
      <c r="L41">
        <v>7617800</v>
      </c>
      <c r="M41">
        <v>0</v>
      </c>
      <c r="N41" t="s">
        <v>58</v>
      </c>
      <c r="O41" t="s">
        <v>66</v>
      </c>
      <c r="P41" t="s">
        <v>31</v>
      </c>
      <c r="Q41" t="s">
        <v>33</v>
      </c>
      <c r="R41" t="s">
        <v>33</v>
      </c>
      <c r="S41">
        <v>12739300</v>
      </c>
      <c r="T41" t="s">
        <v>533</v>
      </c>
      <c r="U41">
        <v>1</v>
      </c>
    </row>
    <row r="42" spans="1:21" x14ac:dyDescent="0.25">
      <c r="A42" t="s">
        <v>416</v>
      </c>
      <c r="B42" s="9">
        <v>46039</v>
      </c>
      <c r="C42">
        <v>2026</v>
      </c>
      <c r="D42" t="s">
        <v>68</v>
      </c>
      <c r="E42" t="s">
        <v>552</v>
      </c>
      <c r="F42" t="s">
        <v>35</v>
      </c>
      <c r="G42" t="s">
        <v>80</v>
      </c>
      <c r="H42" t="s">
        <v>81</v>
      </c>
      <c r="I42" t="s">
        <v>37</v>
      </c>
      <c r="J42" t="s">
        <v>92</v>
      </c>
      <c r="K42" t="s">
        <v>81</v>
      </c>
      <c r="L42">
        <v>7348200</v>
      </c>
      <c r="M42">
        <v>0</v>
      </c>
      <c r="N42" t="s">
        <v>29</v>
      </c>
      <c r="O42" t="s">
        <v>60</v>
      </c>
      <c r="P42" t="s">
        <v>31</v>
      </c>
      <c r="Q42" t="s">
        <v>33</v>
      </c>
      <c r="R42" t="s">
        <v>33</v>
      </c>
      <c r="S42">
        <v>6835000</v>
      </c>
      <c r="T42" t="s">
        <v>533</v>
      </c>
      <c r="U42">
        <v>1</v>
      </c>
    </row>
    <row r="43" spans="1:21" x14ac:dyDescent="0.25">
      <c r="A43" t="s">
        <v>408</v>
      </c>
      <c r="B43" s="9">
        <v>46030</v>
      </c>
      <c r="C43">
        <v>2026</v>
      </c>
      <c r="D43" t="s">
        <v>68</v>
      </c>
      <c r="E43" t="s">
        <v>554</v>
      </c>
      <c r="F43" t="s">
        <v>35</v>
      </c>
      <c r="G43" t="s">
        <v>80</v>
      </c>
      <c r="H43" t="s">
        <v>81</v>
      </c>
      <c r="I43" t="s">
        <v>50</v>
      </c>
      <c r="J43" t="s">
        <v>87</v>
      </c>
      <c r="K43" t="s">
        <v>81</v>
      </c>
      <c r="L43">
        <v>2334100</v>
      </c>
      <c r="M43">
        <v>0</v>
      </c>
      <c r="N43" t="s">
        <v>39</v>
      </c>
      <c r="O43" t="s">
        <v>66</v>
      </c>
      <c r="P43" t="s">
        <v>31</v>
      </c>
      <c r="Q43" t="s">
        <v>32</v>
      </c>
      <c r="R43" t="s">
        <v>33</v>
      </c>
      <c r="S43">
        <v>8240500</v>
      </c>
      <c r="T43" t="s">
        <v>533</v>
      </c>
      <c r="U43">
        <v>1</v>
      </c>
    </row>
    <row r="44" spans="1:21" x14ac:dyDescent="0.25">
      <c r="A44" t="s">
        <v>406</v>
      </c>
      <c r="B44" s="9">
        <v>46028</v>
      </c>
      <c r="C44">
        <v>2026</v>
      </c>
      <c r="D44" t="s">
        <v>23</v>
      </c>
      <c r="E44" t="s">
        <v>553</v>
      </c>
      <c r="F44" t="s">
        <v>35</v>
      </c>
      <c r="G44" t="s">
        <v>36</v>
      </c>
      <c r="H44" t="s">
        <v>36</v>
      </c>
      <c r="I44" t="s">
        <v>56</v>
      </c>
      <c r="J44" t="s">
        <v>87</v>
      </c>
      <c r="K44" t="s">
        <v>36</v>
      </c>
      <c r="L44">
        <v>2256500</v>
      </c>
      <c r="M44">
        <v>0</v>
      </c>
      <c r="N44" t="s">
        <v>29</v>
      </c>
      <c r="O44" t="s">
        <v>66</v>
      </c>
      <c r="P44" t="s">
        <v>31</v>
      </c>
      <c r="Q44" t="s">
        <v>33</v>
      </c>
      <c r="R44" t="s">
        <v>33</v>
      </c>
      <c r="S44">
        <v>7546900</v>
      </c>
      <c r="T44" t="s">
        <v>533</v>
      </c>
      <c r="U44">
        <v>1</v>
      </c>
    </row>
    <row r="45" spans="1:21" x14ac:dyDescent="0.25">
      <c r="A45" t="s">
        <v>121</v>
      </c>
      <c r="B45" s="9">
        <v>46070</v>
      </c>
      <c r="C45">
        <v>2026</v>
      </c>
      <c r="D45" t="s">
        <v>42</v>
      </c>
      <c r="E45" t="s">
        <v>557</v>
      </c>
      <c r="F45" t="s">
        <v>35</v>
      </c>
      <c r="G45" t="s">
        <v>95</v>
      </c>
      <c r="H45" t="s">
        <v>96</v>
      </c>
      <c r="I45" t="s">
        <v>45</v>
      </c>
      <c r="J45" t="s">
        <v>115</v>
      </c>
      <c r="K45" t="s">
        <v>96</v>
      </c>
      <c r="L45">
        <v>4167700</v>
      </c>
      <c r="M45">
        <v>0</v>
      </c>
      <c r="N45" t="s">
        <v>51</v>
      </c>
      <c r="O45" t="s">
        <v>72</v>
      </c>
      <c r="P45" t="s">
        <v>31</v>
      </c>
      <c r="Q45" t="s">
        <v>32</v>
      </c>
      <c r="R45" t="s">
        <v>33</v>
      </c>
      <c r="S45">
        <v>23224200</v>
      </c>
      <c r="T45" t="s">
        <v>536</v>
      </c>
      <c r="U45">
        <v>2</v>
      </c>
    </row>
    <row r="46" spans="1:21" x14ac:dyDescent="0.25">
      <c r="A46" t="s">
        <v>397</v>
      </c>
      <c r="B46" s="9">
        <v>46384</v>
      </c>
      <c r="C46">
        <v>2026</v>
      </c>
      <c r="D46" t="s">
        <v>68</v>
      </c>
      <c r="E46" t="s">
        <v>556</v>
      </c>
      <c r="F46" t="s">
        <v>35</v>
      </c>
      <c r="G46" t="s">
        <v>49</v>
      </c>
      <c r="H46" t="s">
        <v>49</v>
      </c>
      <c r="I46" t="s">
        <v>42</v>
      </c>
      <c r="J46" t="s">
        <v>87</v>
      </c>
      <c r="K46" t="s">
        <v>49</v>
      </c>
      <c r="L46">
        <v>646100</v>
      </c>
      <c r="M46">
        <v>0</v>
      </c>
      <c r="N46" t="s">
        <v>29</v>
      </c>
      <c r="O46" t="s">
        <v>98</v>
      </c>
      <c r="P46" t="s">
        <v>31</v>
      </c>
      <c r="Q46" t="s">
        <v>33</v>
      </c>
      <c r="R46" t="s">
        <v>33</v>
      </c>
      <c r="S46">
        <v>15193400</v>
      </c>
      <c r="T46" t="s">
        <v>537</v>
      </c>
      <c r="U46">
        <v>12</v>
      </c>
    </row>
    <row r="47" spans="1:21" x14ac:dyDescent="0.25">
      <c r="A47" t="s">
        <v>396</v>
      </c>
      <c r="B47" s="9">
        <v>46383</v>
      </c>
      <c r="C47">
        <v>2026</v>
      </c>
      <c r="D47" t="s">
        <v>42</v>
      </c>
      <c r="E47" t="s">
        <v>557</v>
      </c>
      <c r="F47" t="s">
        <v>35</v>
      </c>
      <c r="G47" t="s">
        <v>36</v>
      </c>
      <c r="H47" t="s">
        <v>36</v>
      </c>
      <c r="I47" t="s">
        <v>56</v>
      </c>
      <c r="J47" t="s">
        <v>92</v>
      </c>
      <c r="K47" t="s">
        <v>36</v>
      </c>
      <c r="L47">
        <v>3015800</v>
      </c>
      <c r="M47">
        <v>0</v>
      </c>
      <c r="N47" t="s">
        <v>39</v>
      </c>
      <c r="O47" t="s">
        <v>47</v>
      </c>
      <c r="P47" t="s">
        <v>31</v>
      </c>
      <c r="Q47" t="s">
        <v>33</v>
      </c>
      <c r="R47" t="s">
        <v>33</v>
      </c>
      <c r="S47">
        <v>14547300</v>
      </c>
      <c r="T47" t="s">
        <v>537</v>
      </c>
      <c r="U47">
        <v>12</v>
      </c>
    </row>
    <row r="48" spans="1:21" x14ac:dyDescent="0.25">
      <c r="A48" t="s">
        <v>394</v>
      </c>
      <c r="B48" s="9">
        <v>46381</v>
      </c>
      <c r="C48">
        <v>2026</v>
      </c>
      <c r="D48" t="s">
        <v>23</v>
      </c>
      <c r="E48" t="s">
        <v>552</v>
      </c>
      <c r="F48" t="s">
        <v>35</v>
      </c>
      <c r="G48" t="s">
        <v>95</v>
      </c>
      <c r="H48" t="s">
        <v>96</v>
      </c>
      <c r="I48" t="s">
        <v>27</v>
      </c>
      <c r="J48" t="s">
        <v>78</v>
      </c>
      <c r="K48" t="s">
        <v>96</v>
      </c>
      <c r="L48">
        <v>7841600</v>
      </c>
      <c r="M48">
        <v>0</v>
      </c>
      <c r="N48" t="s">
        <v>39</v>
      </c>
      <c r="O48" t="s">
        <v>76</v>
      </c>
      <c r="P48" t="s">
        <v>31</v>
      </c>
      <c r="Q48" t="s">
        <v>33</v>
      </c>
      <c r="R48" t="s">
        <v>32</v>
      </c>
      <c r="S48">
        <v>13035500</v>
      </c>
      <c r="T48" t="s">
        <v>537</v>
      </c>
      <c r="U48">
        <v>12</v>
      </c>
    </row>
    <row r="49" spans="1:21" x14ac:dyDescent="0.25">
      <c r="A49" t="s">
        <v>393</v>
      </c>
      <c r="B49" s="9">
        <v>46380</v>
      </c>
      <c r="C49">
        <v>2026</v>
      </c>
      <c r="D49" t="s">
        <v>68</v>
      </c>
      <c r="E49" t="s">
        <v>557</v>
      </c>
      <c r="F49" t="s">
        <v>35</v>
      </c>
      <c r="G49" t="s">
        <v>36</v>
      </c>
      <c r="H49" t="s">
        <v>36</v>
      </c>
      <c r="I49" t="s">
        <v>56</v>
      </c>
      <c r="J49" t="s">
        <v>38</v>
      </c>
      <c r="K49" t="s">
        <v>36</v>
      </c>
      <c r="L49">
        <v>945500</v>
      </c>
      <c r="M49">
        <v>0</v>
      </c>
      <c r="N49" t="s">
        <v>39</v>
      </c>
      <c r="O49" t="s">
        <v>47</v>
      </c>
      <c r="P49" t="s">
        <v>31</v>
      </c>
      <c r="Q49" t="s">
        <v>33</v>
      </c>
      <c r="R49" t="s">
        <v>33</v>
      </c>
      <c r="S49">
        <v>5193900</v>
      </c>
      <c r="T49" t="s">
        <v>537</v>
      </c>
      <c r="U49">
        <v>12</v>
      </c>
    </row>
    <row r="50" spans="1:21" x14ac:dyDescent="0.25">
      <c r="A50" t="s">
        <v>389</v>
      </c>
      <c r="B50" s="9">
        <v>46376</v>
      </c>
      <c r="C50">
        <v>2026</v>
      </c>
      <c r="D50" t="s">
        <v>68</v>
      </c>
      <c r="E50" t="s">
        <v>555</v>
      </c>
      <c r="F50" t="s">
        <v>35</v>
      </c>
      <c r="G50" t="s">
        <v>36</v>
      </c>
      <c r="H50" t="s">
        <v>36</v>
      </c>
      <c r="I50" t="s">
        <v>56</v>
      </c>
      <c r="J50" t="s">
        <v>28</v>
      </c>
      <c r="K50" t="s">
        <v>36</v>
      </c>
      <c r="L50">
        <v>238100</v>
      </c>
      <c r="M50">
        <v>0</v>
      </c>
      <c r="N50" t="s">
        <v>58</v>
      </c>
      <c r="O50" t="s">
        <v>47</v>
      </c>
      <c r="P50" t="s">
        <v>31</v>
      </c>
      <c r="Q50" t="s">
        <v>32</v>
      </c>
      <c r="R50" t="s">
        <v>32</v>
      </c>
      <c r="S50">
        <v>6680900</v>
      </c>
      <c r="T50" t="s">
        <v>537</v>
      </c>
      <c r="U50">
        <v>12</v>
      </c>
    </row>
    <row r="51" spans="1:21" x14ac:dyDescent="0.25">
      <c r="A51" t="s">
        <v>382</v>
      </c>
      <c r="B51" s="9">
        <v>46368</v>
      </c>
      <c r="C51">
        <v>2026</v>
      </c>
      <c r="D51" t="s">
        <v>42</v>
      </c>
      <c r="E51" t="s">
        <v>553</v>
      </c>
      <c r="F51" t="s">
        <v>35</v>
      </c>
      <c r="G51" t="s">
        <v>80</v>
      </c>
      <c r="H51" t="s">
        <v>81</v>
      </c>
      <c r="I51" t="s">
        <v>42</v>
      </c>
      <c r="J51" t="s">
        <v>92</v>
      </c>
      <c r="K51" t="s">
        <v>81</v>
      </c>
      <c r="L51">
        <v>7395400</v>
      </c>
      <c r="M51">
        <v>0</v>
      </c>
      <c r="N51" t="s">
        <v>58</v>
      </c>
      <c r="O51" t="s">
        <v>72</v>
      </c>
      <c r="P51" t="s">
        <v>31</v>
      </c>
      <c r="Q51" t="s">
        <v>33</v>
      </c>
      <c r="R51" t="s">
        <v>33</v>
      </c>
      <c r="S51">
        <v>11889200</v>
      </c>
      <c r="T51" t="s">
        <v>537</v>
      </c>
      <c r="U51">
        <v>12</v>
      </c>
    </row>
    <row r="52" spans="1:21" x14ac:dyDescent="0.25">
      <c r="A52" t="s">
        <v>380</v>
      </c>
      <c r="B52" s="9">
        <v>46366</v>
      </c>
      <c r="C52">
        <v>2026</v>
      </c>
      <c r="D52" t="s">
        <v>23</v>
      </c>
      <c r="E52" t="s">
        <v>556</v>
      </c>
      <c r="F52" t="s">
        <v>35</v>
      </c>
      <c r="G52" t="s">
        <v>49</v>
      </c>
      <c r="H52" t="s">
        <v>49</v>
      </c>
      <c r="I52" t="s">
        <v>42</v>
      </c>
      <c r="J52" t="s">
        <v>115</v>
      </c>
      <c r="K52" t="s">
        <v>49</v>
      </c>
      <c r="L52">
        <v>3313900</v>
      </c>
      <c r="M52">
        <v>0</v>
      </c>
      <c r="N52" t="s">
        <v>51</v>
      </c>
      <c r="O52" t="s">
        <v>72</v>
      </c>
      <c r="P52" t="s">
        <v>31</v>
      </c>
      <c r="Q52" t="s">
        <v>33</v>
      </c>
      <c r="R52" t="s">
        <v>33</v>
      </c>
      <c r="S52">
        <v>5764500</v>
      </c>
      <c r="T52" t="s">
        <v>537</v>
      </c>
      <c r="U52">
        <v>12</v>
      </c>
    </row>
    <row r="53" spans="1:21" x14ac:dyDescent="0.25">
      <c r="A53" t="s">
        <v>370</v>
      </c>
      <c r="B53" s="9">
        <v>46353</v>
      </c>
      <c r="C53">
        <v>2026</v>
      </c>
      <c r="D53" t="s">
        <v>23</v>
      </c>
      <c r="E53" t="s">
        <v>557</v>
      </c>
      <c r="F53" t="s">
        <v>35</v>
      </c>
      <c r="G53" t="s">
        <v>36</v>
      </c>
      <c r="H53" t="s">
        <v>36</v>
      </c>
      <c r="I53" t="s">
        <v>56</v>
      </c>
      <c r="J53" t="s">
        <v>57</v>
      </c>
      <c r="K53" t="s">
        <v>36</v>
      </c>
      <c r="L53">
        <v>2759900</v>
      </c>
      <c r="M53">
        <v>0</v>
      </c>
      <c r="N53" t="s">
        <v>29</v>
      </c>
      <c r="O53" t="s">
        <v>60</v>
      </c>
      <c r="P53" t="s">
        <v>31</v>
      </c>
      <c r="Q53" t="s">
        <v>32</v>
      </c>
      <c r="R53" t="s">
        <v>32</v>
      </c>
      <c r="S53">
        <v>11737600</v>
      </c>
      <c r="T53" t="s">
        <v>538</v>
      </c>
      <c r="U53">
        <v>11</v>
      </c>
    </row>
    <row r="54" spans="1:21" x14ac:dyDescent="0.25">
      <c r="A54" t="s">
        <v>368</v>
      </c>
      <c r="B54" s="9">
        <v>46350</v>
      </c>
      <c r="C54">
        <v>2026</v>
      </c>
      <c r="D54" t="s">
        <v>23</v>
      </c>
      <c r="E54" t="s">
        <v>557</v>
      </c>
      <c r="F54" t="s">
        <v>35</v>
      </c>
      <c r="G54" t="s">
        <v>80</v>
      </c>
      <c r="H54" t="s">
        <v>81</v>
      </c>
      <c r="I54" t="s">
        <v>45</v>
      </c>
      <c r="J54" t="s">
        <v>87</v>
      </c>
      <c r="K54" t="s">
        <v>81</v>
      </c>
      <c r="L54">
        <v>6905500</v>
      </c>
      <c r="M54">
        <v>0</v>
      </c>
      <c r="N54" t="s">
        <v>51</v>
      </c>
      <c r="O54" t="s">
        <v>66</v>
      </c>
      <c r="P54" t="s">
        <v>31</v>
      </c>
      <c r="Q54" t="s">
        <v>33</v>
      </c>
      <c r="R54" t="s">
        <v>33</v>
      </c>
      <c r="S54">
        <v>10536900</v>
      </c>
      <c r="T54" t="s">
        <v>538</v>
      </c>
      <c r="U54">
        <v>11</v>
      </c>
    </row>
    <row r="55" spans="1:21" x14ac:dyDescent="0.25">
      <c r="A55" t="s">
        <v>365</v>
      </c>
      <c r="B55" s="9">
        <v>46347</v>
      </c>
      <c r="C55">
        <v>2026</v>
      </c>
      <c r="D55" t="s">
        <v>23</v>
      </c>
      <c r="E55" t="s">
        <v>555</v>
      </c>
      <c r="F55" t="s">
        <v>35</v>
      </c>
      <c r="G55" t="s">
        <v>49</v>
      </c>
      <c r="H55" t="s">
        <v>49</v>
      </c>
      <c r="I55" t="s">
        <v>27</v>
      </c>
      <c r="J55" t="s">
        <v>115</v>
      </c>
      <c r="K55" t="s">
        <v>49</v>
      </c>
      <c r="L55">
        <v>5999100</v>
      </c>
      <c r="M55">
        <v>0</v>
      </c>
      <c r="N55" t="s">
        <v>58</v>
      </c>
      <c r="O55" t="s">
        <v>66</v>
      </c>
      <c r="P55" t="s">
        <v>31</v>
      </c>
      <c r="Q55" t="s">
        <v>33</v>
      </c>
      <c r="R55" t="s">
        <v>32</v>
      </c>
      <c r="S55">
        <v>5838600</v>
      </c>
      <c r="T55" t="s">
        <v>538</v>
      </c>
      <c r="U55">
        <v>11</v>
      </c>
    </row>
    <row r="56" spans="1:21" x14ac:dyDescent="0.25">
      <c r="A56" t="s">
        <v>362</v>
      </c>
      <c r="B56" s="9">
        <v>46344</v>
      </c>
      <c r="C56">
        <v>2026</v>
      </c>
      <c r="D56" t="s">
        <v>42</v>
      </c>
      <c r="E56" t="s">
        <v>553</v>
      </c>
      <c r="F56" t="s">
        <v>35</v>
      </c>
      <c r="G56" t="s">
        <v>95</v>
      </c>
      <c r="H56" t="s">
        <v>96</v>
      </c>
      <c r="I56" t="s">
        <v>50</v>
      </c>
      <c r="J56" t="s">
        <v>57</v>
      </c>
      <c r="K56" t="s">
        <v>96</v>
      </c>
      <c r="L56">
        <v>376400</v>
      </c>
      <c r="M56">
        <v>0</v>
      </c>
      <c r="N56" t="s">
        <v>29</v>
      </c>
      <c r="O56" t="s">
        <v>72</v>
      </c>
      <c r="P56" t="s">
        <v>31</v>
      </c>
      <c r="Q56" t="s">
        <v>33</v>
      </c>
      <c r="R56" t="s">
        <v>33</v>
      </c>
      <c r="S56">
        <v>1498700</v>
      </c>
      <c r="T56" t="s">
        <v>538</v>
      </c>
      <c r="U56">
        <v>11</v>
      </c>
    </row>
    <row r="57" spans="1:21" x14ac:dyDescent="0.25">
      <c r="A57" t="s">
        <v>360</v>
      </c>
      <c r="B57" s="9">
        <v>46342</v>
      </c>
      <c r="C57">
        <v>2026</v>
      </c>
      <c r="D57" t="s">
        <v>42</v>
      </c>
      <c r="E57" t="s">
        <v>552</v>
      </c>
      <c r="F57" t="s">
        <v>35</v>
      </c>
      <c r="G57" t="s">
        <v>49</v>
      </c>
      <c r="H57" t="s">
        <v>49</v>
      </c>
      <c r="I57" t="s">
        <v>27</v>
      </c>
      <c r="J57" t="s">
        <v>28</v>
      </c>
      <c r="K57" t="s">
        <v>49</v>
      </c>
      <c r="L57">
        <v>3890600</v>
      </c>
      <c r="M57">
        <v>0</v>
      </c>
      <c r="N57" t="s">
        <v>51</v>
      </c>
      <c r="O57" t="s">
        <v>40</v>
      </c>
      <c r="P57" t="s">
        <v>31</v>
      </c>
      <c r="Q57" t="s">
        <v>33</v>
      </c>
      <c r="R57" t="s">
        <v>33</v>
      </c>
      <c r="S57">
        <v>1590700</v>
      </c>
      <c r="T57" t="s">
        <v>538</v>
      </c>
      <c r="U57">
        <v>11</v>
      </c>
    </row>
    <row r="58" spans="1:21" x14ac:dyDescent="0.25">
      <c r="A58" t="s">
        <v>353</v>
      </c>
      <c r="B58" s="9">
        <v>46335</v>
      </c>
      <c r="C58">
        <v>2026</v>
      </c>
      <c r="D58" t="s">
        <v>42</v>
      </c>
      <c r="E58" t="s">
        <v>556</v>
      </c>
      <c r="F58" t="s">
        <v>35</v>
      </c>
      <c r="G58" t="s">
        <v>49</v>
      </c>
      <c r="H58" t="s">
        <v>49</v>
      </c>
      <c r="I58" t="s">
        <v>56</v>
      </c>
      <c r="J58" t="s">
        <v>92</v>
      </c>
      <c r="K58" t="s">
        <v>49</v>
      </c>
      <c r="L58">
        <v>6333200</v>
      </c>
      <c r="M58">
        <v>0</v>
      </c>
      <c r="N58" t="s">
        <v>29</v>
      </c>
      <c r="O58" t="s">
        <v>47</v>
      </c>
      <c r="P58" t="s">
        <v>31</v>
      </c>
      <c r="Q58" t="s">
        <v>32</v>
      </c>
      <c r="R58" t="s">
        <v>32</v>
      </c>
      <c r="S58">
        <v>4929400</v>
      </c>
      <c r="T58" t="s">
        <v>538</v>
      </c>
      <c r="U58">
        <v>11</v>
      </c>
    </row>
    <row r="59" spans="1:21" x14ac:dyDescent="0.25">
      <c r="A59" t="s">
        <v>351</v>
      </c>
      <c r="B59" s="9">
        <v>46333</v>
      </c>
      <c r="C59">
        <v>2026</v>
      </c>
      <c r="D59" t="s">
        <v>42</v>
      </c>
      <c r="E59" t="s">
        <v>557</v>
      </c>
      <c r="F59" t="s">
        <v>35</v>
      </c>
      <c r="G59" t="s">
        <v>95</v>
      </c>
      <c r="H59" t="s">
        <v>96</v>
      </c>
      <c r="I59" t="s">
        <v>42</v>
      </c>
      <c r="J59" t="s">
        <v>92</v>
      </c>
      <c r="K59" t="s">
        <v>96</v>
      </c>
      <c r="L59">
        <v>7750000</v>
      </c>
      <c r="M59">
        <v>0</v>
      </c>
      <c r="N59" t="s">
        <v>58</v>
      </c>
      <c r="O59" t="s">
        <v>60</v>
      </c>
      <c r="P59" t="s">
        <v>31</v>
      </c>
      <c r="Q59" t="s">
        <v>32</v>
      </c>
      <c r="R59" t="s">
        <v>33</v>
      </c>
      <c r="S59">
        <v>-937400</v>
      </c>
      <c r="T59" t="s">
        <v>538</v>
      </c>
      <c r="U59">
        <v>11</v>
      </c>
    </row>
    <row r="60" spans="1:21" x14ac:dyDescent="0.25">
      <c r="A60" t="s">
        <v>345</v>
      </c>
      <c r="B60" s="9">
        <v>46326</v>
      </c>
      <c r="C60">
        <v>2026</v>
      </c>
      <c r="D60" t="s">
        <v>23</v>
      </c>
      <c r="E60" t="s">
        <v>555</v>
      </c>
      <c r="F60" t="s">
        <v>35</v>
      </c>
      <c r="G60" t="s">
        <v>80</v>
      </c>
      <c r="H60" t="s">
        <v>81</v>
      </c>
      <c r="I60" t="s">
        <v>45</v>
      </c>
      <c r="J60" t="s">
        <v>28</v>
      </c>
      <c r="K60" t="s">
        <v>81</v>
      </c>
      <c r="L60">
        <v>7696300</v>
      </c>
      <c r="M60">
        <v>0</v>
      </c>
      <c r="N60" t="s">
        <v>29</v>
      </c>
      <c r="O60" t="s">
        <v>47</v>
      </c>
      <c r="P60" t="s">
        <v>31</v>
      </c>
      <c r="Q60" t="s">
        <v>33</v>
      </c>
      <c r="R60" t="s">
        <v>33</v>
      </c>
      <c r="S60">
        <v>-4802000</v>
      </c>
      <c r="T60" t="s">
        <v>539</v>
      </c>
      <c r="U60">
        <v>10</v>
      </c>
    </row>
    <row r="61" spans="1:21" x14ac:dyDescent="0.25">
      <c r="A61" t="s">
        <v>137</v>
      </c>
      <c r="B61" s="9">
        <v>46089</v>
      </c>
      <c r="C61">
        <v>2026</v>
      </c>
      <c r="D61" t="s">
        <v>23</v>
      </c>
      <c r="E61" t="s">
        <v>556</v>
      </c>
      <c r="F61" t="s">
        <v>35</v>
      </c>
      <c r="G61" t="s">
        <v>80</v>
      </c>
      <c r="H61" t="s">
        <v>81</v>
      </c>
      <c r="I61" t="s">
        <v>42</v>
      </c>
      <c r="J61" t="s">
        <v>92</v>
      </c>
      <c r="K61" t="s">
        <v>81</v>
      </c>
      <c r="L61">
        <v>4526900</v>
      </c>
      <c r="M61">
        <v>0</v>
      </c>
      <c r="N61" t="s">
        <v>51</v>
      </c>
      <c r="O61" t="s">
        <v>52</v>
      </c>
      <c r="P61" t="s">
        <v>31</v>
      </c>
      <c r="Q61" t="s">
        <v>33</v>
      </c>
      <c r="R61" t="s">
        <v>33</v>
      </c>
      <c r="S61">
        <v>14409200</v>
      </c>
      <c r="T61" t="s">
        <v>535</v>
      </c>
      <c r="U61">
        <v>3</v>
      </c>
    </row>
    <row r="62" spans="1:21" x14ac:dyDescent="0.25">
      <c r="A62" t="s">
        <v>340</v>
      </c>
      <c r="B62" s="9">
        <v>46321</v>
      </c>
      <c r="C62">
        <v>2026</v>
      </c>
      <c r="D62" t="s">
        <v>68</v>
      </c>
      <c r="E62" t="s">
        <v>557</v>
      </c>
      <c r="F62" t="s">
        <v>35</v>
      </c>
      <c r="G62" t="s">
        <v>80</v>
      </c>
      <c r="H62" t="s">
        <v>81</v>
      </c>
      <c r="I62" t="s">
        <v>50</v>
      </c>
      <c r="J62" t="s">
        <v>92</v>
      </c>
      <c r="K62" t="s">
        <v>81</v>
      </c>
      <c r="L62">
        <v>3585800</v>
      </c>
      <c r="M62">
        <v>0</v>
      </c>
      <c r="N62" t="s">
        <v>39</v>
      </c>
      <c r="O62" t="s">
        <v>40</v>
      </c>
      <c r="P62" t="s">
        <v>31</v>
      </c>
      <c r="Q62" t="s">
        <v>33</v>
      </c>
      <c r="R62" t="s">
        <v>33</v>
      </c>
      <c r="S62">
        <v>-8922300</v>
      </c>
      <c r="T62" t="s">
        <v>539</v>
      </c>
      <c r="U62">
        <v>10</v>
      </c>
    </row>
    <row r="63" spans="1:21" x14ac:dyDescent="0.25">
      <c r="A63" t="s">
        <v>335</v>
      </c>
      <c r="B63" s="9">
        <v>46316</v>
      </c>
      <c r="C63">
        <v>2026</v>
      </c>
      <c r="D63" t="s">
        <v>68</v>
      </c>
      <c r="E63" t="s">
        <v>556</v>
      </c>
      <c r="F63" t="s">
        <v>35</v>
      </c>
      <c r="G63" t="s">
        <v>80</v>
      </c>
      <c r="H63" t="s">
        <v>81</v>
      </c>
      <c r="I63" t="s">
        <v>50</v>
      </c>
      <c r="J63" t="s">
        <v>78</v>
      </c>
      <c r="K63" t="s">
        <v>81</v>
      </c>
      <c r="L63">
        <v>2723600</v>
      </c>
      <c r="M63">
        <v>0</v>
      </c>
      <c r="N63" t="s">
        <v>51</v>
      </c>
      <c r="O63" t="s">
        <v>76</v>
      </c>
      <c r="P63" t="s">
        <v>31</v>
      </c>
      <c r="Q63" t="s">
        <v>32</v>
      </c>
      <c r="R63" t="s">
        <v>32</v>
      </c>
      <c r="S63">
        <v>-9246500</v>
      </c>
      <c r="T63" t="s">
        <v>539</v>
      </c>
      <c r="U63">
        <v>10</v>
      </c>
    </row>
    <row r="64" spans="1:21" x14ac:dyDescent="0.25">
      <c r="A64" t="s">
        <v>140</v>
      </c>
      <c r="B64" s="9">
        <v>46092</v>
      </c>
      <c r="C64">
        <v>2026</v>
      </c>
      <c r="D64" t="s">
        <v>23</v>
      </c>
      <c r="E64" t="s">
        <v>557</v>
      </c>
      <c r="F64" t="s">
        <v>35</v>
      </c>
      <c r="G64" t="s">
        <v>49</v>
      </c>
      <c r="H64" t="s">
        <v>49</v>
      </c>
      <c r="I64" t="s">
        <v>37</v>
      </c>
      <c r="J64" t="s">
        <v>38</v>
      </c>
      <c r="K64" t="s">
        <v>49</v>
      </c>
      <c r="L64">
        <v>274400</v>
      </c>
      <c r="M64">
        <v>0</v>
      </c>
      <c r="N64" t="s">
        <v>58</v>
      </c>
      <c r="O64" t="s">
        <v>52</v>
      </c>
      <c r="P64" t="s">
        <v>31</v>
      </c>
      <c r="Q64" t="s">
        <v>32</v>
      </c>
      <c r="R64" t="s">
        <v>33</v>
      </c>
      <c r="S64">
        <v>11912500</v>
      </c>
      <c r="T64" t="s">
        <v>535</v>
      </c>
      <c r="U64">
        <v>3</v>
      </c>
    </row>
    <row r="65" spans="1:21" x14ac:dyDescent="0.25">
      <c r="A65" t="s">
        <v>332</v>
      </c>
      <c r="B65" s="9">
        <v>46313</v>
      </c>
      <c r="C65">
        <v>2026</v>
      </c>
      <c r="D65" t="s">
        <v>68</v>
      </c>
      <c r="E65" t="s">
        <v>553</v>
      </c>
      <c r="F65" t="s">
        <v>35</v>
      </c>
      <c r="G65" t="s">
        <v>49</v>
      </c>
      <c r="H65" t="s">
        <v>49</v>
      </c>
      <c r="I65" t="s">
        <v>50</v>
      </c>
      <c r="J65" t="s">
        <v>115</v>
      </c>
      <c r="K65" t="s">
        <v>49</v>
      </c>
      <c r="L65">
        <v>6471400</v>
      </c>
      <c r="M65">
        <v>0</v>
      </c>
      <c r="N65" t="s">
        <v>58</v>
      </c>
      <c r="O65" t="s">
        <v>30</v>
      </c>
      <c r="P65" t="s">
        <v>31</v>
      </c>
      <c r="Q65" t="s">
        <v>32</v>
      </c>
      <c r="R65" t="s">
        <v>33</v>
      </c>
      <c r="S65">
        <v>-10597400</v>
      </c>
      <c r="T65" t="s">
        <v>539</v>
      </c>
      <c r="U65">
        <v>10</v>
      </c>
    </row>
    <row r="66" spans="1:21" x14ac:dyDescent="0.25">
      <c r="A66" t="s">
        <v>331</v>
      </c>
      <c r="B66" s="9">
        <v>46309</v>
      </c>
      <c r="C66">
        <v>2026</v>
      </c>
      <c r="D66" t="s">
        <v>23</v>
      </c>
      <c r="E66" t="s">
        <v>554</v>
      </c>
      <c r="F66" t="s">
        <v>35</v>
      </c>
      <c r="G66" t="s">
        <v>80</v>
      </c>
      <c r="H66" t="s">
        <v>81</v>
      </c>
      <c r="I66" t="s">
        <v>45</v>
      </c>
      <c r="J66" t="s">
        <v>92</v>
      </c>
      <c r="K66" t="s">
        <v>81</v>
      </c>
      <c r="L66">
        <v>5730400</v>
      </c>
      <c r="M66">
        <v>0</v>
      </c>
      <c r="N66" t="s">
        <v>58</v>
      </c>
      <c r="O66" t="s">
        <v>40</v>
      </c>
      <c r="P66" t="s">
        <v>31</v>
      </c>
      <c r="Q66" t="s">
        <v>33</v>
      </c>
      <c r="R66" t="s">
        <v>33</v>
      </c>
      <c r="S66">
        <v>-17068800</v>
      </c>
      <c r="T66" t="s">
        <v>539</v>
      </c>
      <c r="U66">
        <v>10</v>
      </c>
    </row>
    <row r="67" spans="1:21" x14ac:dyDescent="0.25">
      <c r="A67" t="s">
        <v>330</v>
      </c>
      <c r="B67" s="9">
        <v>46308</v>
      </c>
      <c r="C67">
        <v>2026</v>
      </c>
      <c r="D67" t="s">
        <v>42</v>
      </c>
      <c r="E67" t="s">
        <v>555</v>
      </c>
      <c r="F67" t="s">
        <v>35</v>
      </c>
      <c r="G67" t="s">
        <v>49</v>
      </c>
      <c r="H67" t="s">
        <v>49</v>
      </c>
      <c r="I67" t="s">
        <v>50</v>
      </c>
      <c r="J67" t="s">
        <v>46</v>
      </c>
      <c r="K67" t="s">
        <v>49</v>
      </c>
      <c r="L67">
        <v>4991900</v>
      </c>
      <c r="M67">
        <v>0</v>
      </c>
      <c r="N67" t="s">
        <v>29</v>
      </c>
      <c r="O67" t="s">
        <v>66</v>
      </c>
      <c r="P67" t="s">
        <v>31</v>
      </c>
      <c r="Q67" t="s">
        <v>33</v>
      </c>
      <c r="R67" t="s">
        <v>33</v>
      </c>
      <c r="S67">
        <v>-22799200</v>
      </c>
      <c r="T67" t="s">
        <v>539</v>
      </c>
      <c r="U67">
        <v>10</v>
      </c>
    </row>
    <row r="68" spans="1:21" x14ac:dyDescent="0.25">
      <c r="A68" t="s">
        <v>328</v>
      </c>
      <c r="B68" s="9">
        <v>46306</v>
      </c>
      <c r="C68">
        <v>2026</v>
      </c>
      <c r="D68" t="s">
        <v>23</v>
      </c>
      <c r="E68" t="s">
        <v>557</v>
      </c>
      <c r="F68" t="s">
        <v>35</v>
      </c>
      <c r="G68" t="s">
        <v>36</v>
      </c>
      <c r="H68" t="s">
        <v>36</v>
      </c>
      <c r="I68" t="s">
        <v>50</v>
      </c>
      <c r="J68" t="s">
        <v>115</v>
      </c>
      <c r="K68" t="s">
        <v>36</v>
      </c>
      <c r="L68">
        <v>7444800</v>
      </c>
      <c r="M68">
        <v>0</v>
      </c>
      <c r="N68" t="s">
        <v>51</v>
      </c>
      <c r="O68" t="s">
        <v>30</v>
      </c>
      <c r="P68" t="s">
        <v>31</v>
      </c>
      <c r="Q68" t="s">
        <v>32</v>
      </c>
      <c r="R68" t="s">
        <v>32</v>
      </c>
      <c r="S68">
        <v>-27426100</v>
      </c>
      <c r="T68" t="s">
        <v>539</v>
      </c>
      <c r="U68">
        <v>10</v>
      </c>
    </row>
    <row r="69" spans="1:21" x14ac:dyDescent="0.25">
      <c r="A69" t="s">
        <v>145</v>
      </c>
      <c r="B69" s="9">
        <v>46098</v>
      </c>
      <c r="C69">
        <v>2026</v>
      </c>
      <c r="D69" t="s">
        <v>68</v>
      </c>
      <c r="E69" t="s">
        <v>554</v>
      </c>
      <c r="F69" t="s">
        <v>35</v>
      </c>
      <c r="G69" t="s">
        <v>49</v>
      </c>
      <c r="H69" t="s">
        <v>49</v>
      </c>
      <c r="I69" t="s">
        <v>45</v>
      </c>
      <c r="J69" t="s">
        <v>46</v>
      </c>
      <c r="K69" t="s">
        <v>49</v>
      </c>
      <c r="L69">
        <v>7161600</v>
      </c>
      <c r="M69">
        <v>0</v>
      </c>
      <c r="N69" t="s">
        <v>58</v>
      </c>
      <c r="O69" t="s">
        <v>109</v>
      </c>
      <c r="P69" t="s">
        <v>31</v>
      </c>
      <c r="Q69" t="s">
        <v>33</v>
      </c>
      <c r="R69" t="s">
        <v>33</v>
      </c>
      <c r="S69">
        <v>14993400</v>
      </c>
      <c r="T69" t="s">
        <v>535</v>
      </c>
      <c r="U69">
        <v>3</v>
      </c>
    </row>
    <row r="70" spans="1:21" x14ac:dyDescent="0.25">
      <c r="A70" t="s">
        <v>327</v>
      </c>
      <c r="B70" s="9">
        <v>46305</v>
      </c>
      <c r="C70">
        <v>2026</v>
      </c>
      <c r="D70" t="s">
        <v>23</v>
      </c>
      <c r="E70" t="s">
        <v>552</v>
      </c>
      <c r="F70" t="s">
        <v>35</v>
      </c>
      <c r="G70" t="s">
        <v>80</v>
      </c>
      <c r="H70" t="s">
        <v>81</v>
      </c>
      <c r="I70" t="s">
        <v>56</v>
      </c>
      <c r="J70" t="s">
        <v>57</v>
      </c>
      <c r="K70" t="s">
        <v>81</v>
      </c>
      <c r="L70">
        <v>3494900</v>
      </c>
      <c r="M70">
        <v>0</v>
      </c>
      <c r="N70" t="s">
        <v>39</v>
      </c>
      <c r="O70" t="s">
        <v>66</v>
      </c>
      <c r="P70" t="s">
        <v>31</v>
      </c>
      <c r="Q70" t="s">
        <v>33</v>
      </c>
      <c r="R70" t="s">
        <v>33</v>
      </c>
      <c r="S70">
        <v>-34870900</v>
      </c>
      <c r="T70" t="s">
        <v>539</v>
      </c>
      <c r="U70">
        <v>10</v>
      </c>
    </row>
    <row r="71" spans="1:21" x14ac:dyDescent="0.25">
      <c r="A71" t="s">
        <v>326</v>
      </c>
      <c r="B71" s="9">
        <v>46304</v>
      </c>
      <c r="C71">
        <v>2026</v>
      </c>
      <c r="D71" t="s">
        <v>23</v>
      </c>
      <c r="E71" t="s">
        <v>554</v>
      </c>
      <c r="F71" t="s">
        <v>35</v>
      </c>
      <c r="G71" t="s">
        <v>49</v>
      </c>
      <c r="H71" t="s">
        <v>49</v>
      </c>
      <c r="I71" t="s">
        <v>37</v>
      </c>
      <c r="J71" t="s">
        <v>92</v>
      </c>
      <c r="K71" t="s">
        <v>49</v>
      </c>
      <c r="L71">
        <v>846800</v>
      </c>
      <c r="M71">
        <v>0</v>
      </c>
      <c r="N71" t="s">
        <v>51</v>
      </c>
      <c r="O71" t="s">
        <v>98</v>
      </c>
      <c r="P71" t="s">
        <v>31</v>
      </c>
      <c r="Q71" t="s">
        <v>33</v>
      </c>
      <c r="R71" t="s">
        <v>32</v>
      </c>
      <c r="S71">
        <v>-38365800</v>
      </c>
      <c r="T71" t="s">
        <v>539</v>
      </c>
      <c r="U71">
        <v>10</v>
      </c>
    </row>
    <row r="72" spans="1:21" x14ac:dyDescent="0.25">
      <c r="A72" t="s">
        <v>314</v>
      </c>
      <c r="B72" s="9">
        <v>46291</v>
      </c>
      <c r="C72">
        <v>2026</v>
      </c>
      <c r="D72" t="s">
        <v>23</v>
      </c>
      <c r="E72" t="s">
        <v>557</v>
      </c>
      <c r="F72" t="s">
        <v>35</v>
      </c>
      <c r="G72" t="s">
        <v>49</v>
      </c>
      <c r="H72" t="s">
        <v>49</v>
      </c>
      <c r="I72" t="s">
        <v>56</v>
      </c>
      <c r="J72" t="s">
        <v>115</v>
      </c>
      <c r="K72" t="s">
        <v>49</v>
      </c>
      <c r="L72">
        <v>338700</v>
      </c>
      <c r="M72">
        <v>0</v>
      </c>
      <c r="N72" t="s">
        <v>51</v>
      </c>
      <c r="O72" t="s">
        <v>52</v>
      </c>
      <c r="P72" t="s">
        <v>31</v>
      </c>
      <c r="Q72" t="s">
        <v>32</v>
      </c>
      <c r="R72" t="s">
        <v>33</v>
      </c>
      <c r="S72">
        <v>-26957700</v>
      </c>
      <c r="T72" t="s">
        <v>540</v>
      </c>
      <c r="U72">
        <v>9</v>
      </c>
    </row>
    <row r="73" spans="1:21" x14ac:dyDescent="0.25">
      <c r="A73" t="s">
        <v>305</v>
      </c>
      <c r="B73" s="9">
        <v>46281</v>
      </c>
      <c r="C73">
        <v>2026</v>
      </c>
      <c r="D73" t="s">
        <v>68</v>
      </c>
      <c r="E73" t="s">
        <v>554</v>
      </c>
      <c r="F73" t="s">
        <v>35</v>
      </c>
      <c r="G73" t="s">
        <v>80</v>
      </c>
      <c r="H73" t="s">
        <v>81</v>
      </c>
      <c r="I73" t="s">
        <v>37</v>
      </c>
      <c r="J73" t="s">
        <v>38</v>
      </c>
      <c r="K73" t="s">
        <v>81</v>
      </c>
      <c r="L73">
        <v>3763500</v>
      </c>
      <c r="M73">
        <v>0</v>
      </c>
      <c r="N73" t="s">
        <v>39</v>
      </c>
      <c r="O73" t="s">
        <v>76</v>
      </c>
      <c r="P73" t="s">
        <v>31</v>
      </c>
      <c r="Q73" t="s">
        <v>33</v>
      </c>
      <c r="R73" t="s">
        <v>32</v>
      </c>
      <c r="S73">
        <v>-16843200</v>
      </c>
      <c r="T73" t="s">
        <v>540</v>
      </c>
      <c r="U73">
        <v>9</v>
      </c>
    </row>
    <row r="74" spans="1:21" x14ac:dyDescent="0.25">
      <c r="A74" t="s">
        <v>296</v>
      </c>
      <c r="B74" s="9">
        <v>46272</v>
      </c>
      <c r="C74">
        <v>2026</v>
      </c>
      <c r="D74" t="s">
        <v>68</v>
      </c>
      <c r="E74" t="s">
        <v>552</v>
      </c>
      <c r="F74" t="s">
        <v>35</v>
      </c>
      <c r="G74" t="s">
        <v>49</v>
      </c>
      <c r="H74" t="s">
        <v>49</v>
      </c>
      <c r="I74" t="s">
        <v>50</v>
      </c>
      <c r="J74" t="s">
        <v>92</v>
      </c>
      <c r="K74" t="s">
        <v>49</v>
      </c>
      <c r="L74">
        <v>274100</v>
      </c>
      <c r="M74">
        <v>0</v>
      </c>
      <c r="N74" t="s">
        <v>29</v>
      </c>
      <c r="O74" t="s">
        <v>98</v>
      </c>
      <c r="P74" t="s">
        <v>31</v>
      </c>
      <c r="Q74" t="s">
        <v>33</v>
      </c>
      <c r="R74" t="s">
        <v>33</v>
      </c>
      <c r="S74">
        <v>-15091700</v>
      </c>
      <c r="T74" t="s">
        <v>540</v>
      </c>
      <c r="U74">
        <v>9</v>
      </c>
    </row>
    <row r="75" spans="1:21" x14ac:dyDescent="0.25">
      <c r="A75" t="s">
        <v>294</v>
      </c>
      <c r="B75" s="9">
        <v>46270</v>
      </c>
      <c r="C75">
        <v>2026</v>
      </c>
      <c r="D75" t="s">
        <v>68</v>
      </c>
      <c r="E75" t="s">
        <v>552</v>
      </c>
      <c r="F75" t="s">
        <v>35</v>
      </c>
      <c r="G75" t="s">
        <v>95</v>
      </c>
      <c r="H75" t="s">
        <v>96</v>
      </c>
      <c r="I75" t="s">
        <v>50</v>
      </c>
      <c r="J75" t="s">
        <v>92</v>
      </c>
      <c r="K75" t="s">
        <v>96</v>
      </c>
      <c r="L75">
        <v>7692400</v>
      </c>
      <c r="M75">
        <v>0</v>
      </c>
      <c r="N75" t="s">
        <v>51</v>
      </c>
      <c r="O75" t="s">
        <v>72</v>
      </c>
      <c r="P75" t="s">
        <v>31</v>
      </c>
      <c r="Q75" t="s">
        <v>33</v>
      </c>
      <c r="R75" t="s">
        <v>33</v>
      </c>
      <c r="S75">
        <v>-14001800</v>
      </c>
      <c r="T75" t="s">
        <v>540</v>
      </c>
      <c r="U75">
        <v>9</v>
      </c>
    </row>
    <row r="76" spans="1:21" x14ac:dyDescent="0.25">
      <c r="A76" t="s">
        <v>291</v>
      </c>
      <c r="B76" s="9">
        <v>46267</v>
      </c>
      <c r="C76">
        <v>2026</v>
      </c>
      <c r="D76" t="s">
        <v>23</v>
      </c>
      <c r="E76" t="s">
        <v>553</v>
      </c>
      <c r="F76" t="s">
        <v>35</v>
      </c>
      <c r="G76" t="s">
        <v>49</v>
      </c>
      <c r="H76" t="s">
        <v>49</v>
      </c>
      <c r="I76" t="s">
        <v>42</v>
      </c>
      <c r="J76" t="s">
        <v>64</v>
      </c>
      <c r="K76" t="s">
        <v>49</v>
      </c>
      <c r="L76">
        <v>915200</v>
      </c>
      <c r="M76">
        <v>0</v>
      </c>
      <c r="N76" t="s">
        <v>51</v>
      </c>
      <c r="O76" t="s">
        <v>52</v>
      </c>
      <c r="P76" t="s">
        <v>31</v>
      </c>
      <c r="Q76" t="s">
        <v>33</v>
      </c>
      <c r="R76" t="s">
        <v>32</v>
      </c>
      <c r="S76">
        <v>-18248000</v>
      </c>
      <c r="T76" t="s">
        <v>540</v>
      </c>
      <c r="U76">
        <v>9</v>
      </c>
    </row>
    <row r="77" spans="1:21" x14ac:dyDescent="0.25">
      <c r="A77" t="s">
        <v>288</v>
      </c>
      <c r="B77" s="9">
        <v>46264</v>
      </c>
      <c r="C77">
        <v>2026</v>
      </c>
      <c r="D77" t="s">
        <v>68</v>
      </c>
      <c r="E77" t="s">
        <v>553</v>
      </c>
      <c r="F77" t="s">
        <v>35</v>
      </c>
      <c r="G77" t="s">
        <v>36</v>
      </c>
      <c r="H77" t="s">
        <v>36</v>
      </c>
      <c r="I77" t="s">
        <v>45</v>
      </c>
      <c r="J77" t="s">
        <v>78</v>
      </c>
      <c r="K77" t="s">
        <v>36</v>
      </c>
      <c r="L77">
        <v>508000</v>
      </c>
      <c r="M77">
        <v>0</v>
      </c>
      <c r="N77" t="s">
        <v>51</v>
      </c>
      <c r="O77" t="s">
        <v>52</v>
      </c>
      <c r="P77" t="s">
        <v>31</v>
      </c>
      <c r="Q77" t="s">
        <v>33</v>
      </c>
      <c r="R77" t="s">
        <v>33</v>
      </c>
      <c r="S77">
        <v>-16764800</v>
      </c>
      <c r="T77" t="s">
        <v>541</v>
      </c>
      <c r="U77">
        <v>8</v>
      </c>
    </row>
    <row r="78" spans="1:21" x14ac:dyDescent="0.25">
      <c r="A78" t="s">
        <v>154</v>
      </c>
      <c r="B78" s="9">
        <v>46108</v>
      </c>
      <c r="C78">
        <v>2026</v>
      </c>
      <c r="D78" t="s">
        <v>23</v>
      </c>
      <c r="E78" t="s">
        <v>555</v>
      </c>
      <c r="F78" t="s">
        <v>35</v>
      </c>
      <c r="G78" t="s">
        <v>95</v>
      </c>
      <c r="H78" t="s">
        <v>96</v>
      </c>
      <c r="I78" t="s">
        <v>45</v>
      </c>
      <c r="J78" t="s">
        <v>46</v>
      </c>
      <c r="K78" t="s">
        <v>96</v>
      </c>
      <c r="L78">
        <v>3397700</v>
      </c>
      <c r="M78">
        <v>0</v>
      </c>
      <c r="N78" t="s">
        <v>29</v>
      </c>
      <c r="O78" t="s">
        <v>66</v>
      </c>
      <c r="P78" t="s">
        <v>31</v>
      </c>
      <c r="Q78" t="s">
        <v>32</v>
      </c>
      <c r="R78" t="s">
        <v>33</v>
      </c>
      <c r="S78">
        <v>9534000</v>
      </c>
      <c r="T78" t="s">
        <v>535</v>
      </c>
      <c r="U78">
        <v>3</v>
      </c>
    </row>
    <row r="79" spans="1:21" x14ac:dyDescent="0.25">
      <c r="A79" t="s">
        <v>284</v>
      </c>
      <c r="B79" s="9">
        <v>46259</v>
      </c>
      <c r="C79">
        <v>2026</v>
      </c>
      <c r="D79" t="s">
        <v>23</v>
      </c>
      <c r="E79" t="s">
        <v>553</v>
      </c>
      <c r="F79" t="s">
        <v>35</v>
      </c>
      <c r="G79" t="s">
        <v>36</v>
      </c>
      <c r="H79" t="s">
        <v>36</v>
      </c>
      <c r="I79" t="s">
        <v>56</v>
      </c>
      <c r="J79" t="s">
        <v>92</v>
      </c>
      <c r="K79" t="s">
        <v>36</v>
      </c>
      <c r="L79">
        <v>6448000</v>
      </c>
      <c r="M79">
        <v>0</v>
      </c>
      <c r="N79" t="s">
        <v>58</v>
      </c>
      <c r="O79" t="s">
        <v>40</v>
      </c>
      <c r="P79" t="s">
        <v>31</v>
      </c>
      <c r="Q79" t="s">
        <v>32</v>
      </c>
      <c r="R79" t="s">
        <v>33</v>
      </c>
      <c r="S79">
        <v>-15032700</v>
      </c>
      <c r="T79" t="s">
        <v>541</v>
      </c>
      <c r="U79">
        <v>8</v>
      </c>
    </row>
    <row r="80" spans="1:21" x14ac:dyDescent="0.25">
      <c r="A80" t="s">
        <v>276</v>
      </c>
      <c r="B80" s="9">
        <v>46251</v>
      </c>
      <c r="C80">
        <v>2026</v>
      </c>
      <c r="D80" t="s">
        <v>42</v>
      </c>
      <c r="E80" t="s">
        <v>556</v>
      </c>
      <c r="F80" t="s">
        <v>35</v>
      </c>
      <c r="G80" t="s">
        <v>36</v>
      </c>
      <c r="H80" t="s">
        <v>36</v>
      </c>
      <c r="I80" t="s">
        <v>50</v>
      </c>
      <c r="J80" t="s">
        <v>64</v>
      </c>
      <c r="K80" t="s">
        <v>36</v>
      </c>
      <c r="L80">
        <v>1578400</v>
      </c>
      <c r="M80">
        <v>0</v>
      </c>
      <c r="N80" t="s">
        <v>58</v>
      </c>
      <c r="O80" t="s">
        <v>52</v>
      </c>
      <c r="P80" t="s">
        <v>31</v>
      </c>
      <c r="Q80" t="s">
        <v>32</v>
      </c>
      <c r="R80" t="s">
        <v>33</v>
      </c>
      <c r="S80">
        <v>-17137900</v>
      </c>
      <c r="T80" t="s">
        <v>541</v>
      </c>
      <c r="U80">
        <v>8</v>
      </c>
    </row>
    <row r="81" spans="1:21" x14ac:dyDescent="0.25">
      <c r="A81" t="s">
        <v>263</v>
      </c>
      <c r="B81" s="9">
        <v>46238</v>
      </c>
      <c r="C81">
        <v>2026</v>
      </c>
      <c r="D81" t="s">
        <v>42</v>
      </c>
      <c r="E81" t="s">
        <v>557</v>
      </c>
      <c r="F81" t="s">
        <v>35</v>
      </c>
      <c r="G81" t="s">
        <v>80</v>
      </c>
      <c r="H81" t="s">
        <v>81</v>
      </c>
      <c r="I81" t="s">
        <v>50</v>
      </c>
      <c r="J81" t="s">
        <v>57</v>
      </c>
      <c r="K81" t="s">
        <v>81</v>
      </c>
      <c r="L81">
        <v>2389300</v>
      </c>
      <c r="M81">
        <v>0</v>
      </c>
      <c r="N81" t="s">
        <v>29</v>
      </c>
      <c r="O81" t="s">
        <v>76</v>
      </c>
      <c r="P81" t="s">
        <v>31</v>
      </c>
      <c r="Q81" t="s">
        <v>33</v>
      </c>
      <c r="R81" t="s">
        <v>32</v>
      </c>
      <c r="S81">
        <v>-5409300</v>
      </c>
      <c r="T81" t="s">
        <v>541</v>
      </c>
      <c r="U81">
        <v>8</v>
      </c>
    </row>
    <row r="82" spans="1:21" x14ac:dyDescent="0.25">
      <c r="A82" t="s">
        <v>261</v>
      </c>
      <c r="B82" s="9">
        <v>46236</v>
      </c>
      <c r="C82">
        <v>2026</v>
      </c>
      <c r="D82" t="s">
        <v>23</v>
      </c>
      <c r="E82" t="s">
        <v>552</v>
      </c>
      <c r="F82" t="s">
        <v>35</v>
      </c>
      <c r="G82" t="s">
        <v>36</v>
      </c>
      <c r="H82" t="s">
        <v>36</v>
      </c>
      <c r="I82" t="s">
        <v>42</v>
      </c>
      <c r="J82" t="s">
        <v>38</v>
      </c>
      <c r="K82" t="s">
        <v>36</v>
      </c>
      <c r="L82">
        <v>841000</v>
      </c>
      <c r="M82">
        <v>0</v>
      </c>
      <c r="N82" t="s">
        <v>39</v>
      </c>
      <c r="O82" t="s">
        <v>52</v>
      </c>
      <c r="P82" t="s">
        <v>31</v>
      </c>
      <c r="Q82" t="s">
        <v>33</v>
      </c>
      <c r="R82" t="s">
        <v>33</v>
      </c>
      <c r="S82">
        <v>-6770900</v>
      </c>
      <c r="T82" t="s">
        <v>541</v>
      </c>
      <c r="U82">
        <v>8</v>
      </c>
    </row>
    <row r="83" spans="1:21" x14ac:dyDescent="0.25">
      <c r="A83" t="s">
        <v>259</v>
      </c>
      <c r="B83" s="9">
        <v>46234</v>
      </c>
      <c r="C83">
        <v>2026</v>
      </c>
      <c r="D83" t="s">
        <v>42</v>
      </c>
      <c r="E83" t="s">
        <v>557</v>
      </c>
      <c r="F83" t="s">
        <v>35</v>
      </c>
      <c r="G83" t="s">
        <v>95</v>
      </c>
      <c r="H83" t="s">
        <v>96</v>
      </c>
      <c r="I83" t="s">
        <v>42</v>
      </c>
      <c r="J83" t="s">
        <v>92</v>
      </c>
      <c r="K83" t="s">
        <v>96</v>
      </c>
      <c r="L83">
        <v>7781000</v>
      </c>
      <c r="M83">
        <v>0</v>
      </c>
      <c r="N83" t="s">
        <v>39</v>
      </c>
      <c r="O83" t="s">
        <v>52</v>
      </c>
      <c r="P83" t="s">
        <v>31</v>
      </c>
      <c r="Q83" t="s">
        <v>33</v>
      </c>
      <c r="R83" t="s">
        <v>33</v>
      </c>
      <c r="S83">
        <v>-7540300</v>
      </c>
      <c r="T83" t="s">
        <v>542</v>
      </c>
      <c r="U83">
        <v>7</v>
      </c>
    </row>
    <row r="84" spans="1:21" x14ac:dyDescent="0.25">
      <c r="A84" t="s">
        <v>160</v>
      </c>
      <c r="B84" s="9">
        <v>46116</v>
      </c>
      <c r="C84">
        <v>2026</v>
      </c>
      <c r="D84" t="s">
        <v>68</v>
      </c>
      <c r="E84" t="s">
        <v>554</v>
      </c>
      <c r="F84" t="s">
        <v>35</v>
      </c>
      <c r="G84" t="s">
        <v>36</v>
      </c>
      <c r="H84" t="s">
        <v>36</v>
      </c>
      <c r="I84" t="s">
        <v>37</v>
      </c>
      <c r="J84" t="s">
        <v>115</v>
      </c>
      <c r="K84" t="s">
        <v>36</v>
      </c>
      <c r="L84">
        <v>7394900</v>
      </c>
      <c r="M84">
        <v>0</v>
      </c>
      <c r="N84" t="s">
        <v>39</v>
      </c>
      <c r="O84" t="s">
        <v>66</v>
      </c>
      <c r="P84" t="s">
        <v>31</v>
      </c>
      <c r="Q84" t="s">
        <v>33</v>
      </c>
      <c r="R84" t="s">
        <v>33</v>
      </c>
      <c r="S84">
        <v>11027100</v>
      </c>
      <c r="T84" t="s">
        <v>534</v>
      </c>
      <c r="U84">
        <v>4</v>
      </c>
    </row>
    <row r="85" spans="1:21" x14ac:dyDescent="0.25">
      <c r="A85" t="s">
        <v>252</v>
      </c>
      <c r="B85" s="9">
        <v>46227</v>
      </c>
      <c r="C85">
        <v>2026</v>
      </c>
      <c r="D85" t="s">
        <v>23</v>
      </c>
      <c r="E85" t="s">
        <v>552</v>
      </c>
      <c r="F85" t="s">
        <v>35</v>
      </c>
      <c r="G85" t="s">
        <v>95</v>
      </c>
      <c r="H85" t="s">
        <v>96</v>
      </c>
      <c r="I85" t="s">
        <v>45</v>
      </c>
      <c r="J85" t="s">
        <v>115</v>
      </c>
      <c r="K85" t="s">
        <v>96</v>
      </c>
      <c r="L85">
        <v>1110100</v>
      </c>
      <c r="M85">
        <v>0</v>
      </c>
      <c r="N85" t="s">
        <v>58</v>
      </c>
      <c r="O85" t="s">
        <v>98</v>
      </c>
      <c r="P85" t="s">
        <v>31</v>
      </c>
      <c r="Q85" t="s">
        <v>33</v>
      </c>
      <c r="R85" t="s">
        <v>33</v>
      </c>
      <c r="S85">
        <v>-8543100</v>
      </c>
      <c r="T85" t="s">
        <v>542</v>
      </c>
      <c r="U85">
        <v>7</v>
      </c>
    </row>
    <row r="86" spans="1:21" x14ac:dyDescent="0.25">
      <c r="A86" t="s">
        <v>162</v>
      </c>
      <c r="B86" s="9">
        <v>46119</v>
      </c>
      <c r="C86">
        <v>2026</v>
      </c>
      <c r="D86" t="s">
        <v>42</v>
      </c>
      <c r="E86" t="s">
        <v>555</v>
      </c>
      <c r="F86" t="s">
        <v>35</v>
      </c>
      <c r="G86" t="s">
        <v>95</v>
      </c>
      <c r="H86" t="s">
        <v>96</v>
      </c>
      <c r="I86" t="s">
        <v>42</v>
      </c>
      <c r="J86" t="s">
        <v>78</v>
      </c>
      <c r="K86" t="s">
        <v>96</v>
      </c>
      <c r="L86">
        <v>5289200</v>
      </c>
      <c r="M86">
        <v>0</v>
      </c>
      <c r="N86" t="s">
        <v>39</v>
      </c>
      <c r="O86" t="s">
        <v>109</v>
      </c>
      <c r="P86" t="s">
        <v>31</v>
      </c>
      <c r="Q86" t="s">
        <v>32</v>
      </c>
      <c r="R86" t="s">
        <v>33</v>
      </c>
      <c r="S86">
        <v>16252500</v>
      </c>
      <c r="T86" t="s">
        <v>534</v>
      </c>
      <c r="U86">
        <v>4</v>
      </c>
    </row>
    <row r="87" spans="1:21" x14ac:dyDescent="0.25">
      <c r="A87" t="s">
        <v>163</v>
      </c>
      <c r="B87" s="9">
        <v>46120</v>
      </c>
      <c r="C87">
        <v>2026</v>
      </c>
      <c r="D87" t="s">
        <v>23</v>
      </c>
      <c r="E87" t="s">
        <v>554</v>
      </c>
      <c r="F87" t="s">
        <v>35</v>
      </c>
      <c r="G87" t="s">
        <v>80</v>
      </c>
      <c r="H87" t="s">
        <v>81</v>
      </c>
      <c r="I87" t="s">
        <v>37</v>
      </c>
      <c r="J87" t="s">
        <v>115</v>
      </c>
      <c r="K87" t="s">
        <v>81</v>
      </c>
      <c r="L87">
        <v>3958400</v>
      </c>
      <c r="M87">
        <v>0</v>
      </c>
      <c r="N87" t="s">
        <v>29</v>
      </c>
      <c r="O87" t="s">
        <v>40</v>
      </c>
      <c r="P87" t="s">
        <v>31</v>
      </c>
      <c r="Q87" t="s">
        <v>33</v>
      </c>
      <c r="R87" t="s">
        <v>33</v>
      </c>
      <c r="S87">
        <v>20210900</v>
      </c>
      <c r="T87" t="s">
        <v>534</v>
      </c>
      <c r="U87">
        <v>4</v>
      </c>
    </row>
    <row r="88" spans="1:21" x14ac:dyDescent="0.25">
      <c r="A88" t="s">
        <v>249</v>
      </c>
      <c r="B88" s="9">
        <v>46224</v>
      </c>
      <c r="C88">
        <v>2026</v>
      </c>
      <c r="D88" t="s">
        <v>23</v>
      </c>
      <c r="E88" t="s">
        <v>552</v>
      </c>
      <c r="F88" t="s">
        <v>35</v>
      </c>
      <c r="G88" t="s">
        <v>36</v>
      </c>
      <c r="H88" t="s">
        <v>36</v>
      </c>
      <c r="I88" t="s">
        <v>27</v>
      </c>
      <c r="J88" t="s">
        <v>38</v>
      </c>
      <c r="K88" t="s">
        <v>36</v>
      </c>
      <c r="L88">
        <v>852100</v>
      </c>
      <c r="M88">
        <v>0</v>
      </c>
      <c r="N88" t="s">
        <v>58</v>
      </c>
      <c r="O88" t="s">
        <v>66</v>
      </c>
      <c r="P88" t="s">
        <v>31</v>
      </c>
      <c r="Q88" t="s">
        <v>33</v>
      </c>
      <c r="R88" t="s">
        <v>33</v>
      </c>
      <c r="S88">
        <v>-6809300</v>
      </c>
      <c r="T88" t="s">
        <v>542</v>
      </c>
      <c r="U88">
        <v>7</v>
      </c>
    </row>
    <row r="89" spans="1:21" x14ac:dyDescent="0.25">
      <c r="A89" t="s">
        <v>165</v>
      </c>
      <c r="B89" s="9">
        <v>46122</v>
      </c>
      <c r="C89">
        <v>2026</v>
      </c>
      <c r="D89" t="s">
        <v>68</v>
      </c>
      <c r="E89" t="s">
        <v>557</v>
      </c>
      <c r="F89" t="s">
        <v>35</v>
      </c>
      <c r="G89" t="s">
        <v>95</v>
      </c>
      <c r="H89" t="s">
        <v>96</v>
      </c>
      <c r="I89" t="s">
        <v>56</v>
      </c>
      <c r="J89" t="s">
        <v>46</v>
      </c>
      <c r="K89" t="s">
        <v>96</v>
      </c>
      <c r="L89">
        <v>5749700</v>
      </c>
      <c r="M89">
        <v>0</v>
      </c>
      <c r="N89" t="s">
        <v>29</v>
      </c>
      <c r="O89" t="s">
        <v>40</v>
      </c>
      <c r="P89" t="s">
        <v>31</v>
      </c>
      <c r="Q89" t="s">
        <v>33</v>
      </c>
      <c r="R89" t="s">
        <v>32</v>
      </c>
      <c r="S89">
        <v>24570200</v>
      </c>
      <c r="T89" t="s">
        <v>534</v>
      </c>
      <c r="U89">
        <v>4</v>
      </c>
    </row>
    <row r="90" spans="1:21" x14ac:dyDescent="0.25">
      <c r="A90" t="s">
        <v>228</v>
      </c>
      <c r="B90" s="9">
        <v>46194</v>
      </c>
      <c r="C90">
        <v>2026</v>
      </c>
      <c r="D90" t="s">
        <v>23</v>
      </c>
      <c r="E90" t="s">
        <v>556</v>
      </c>
      <c r="F90" t="s">
        <v>35</v>
      </c>
      <c r="G90" t="s">
        <v>36</v>
      </c>
      <c r="H90" t="s">
        <v>36</v>
      </c>
      <c r="I90" t="s">
        <v>56</v>
      </c>
      <c r="J90" t="s">
        <v>92</v>
      </c>
      <c r="K90" t="s">
        <v>36</v>
      </c>
      <c r="L90">
        <v>6301500</v>
      </c>
      <c r="M90">
        <v>0</v>
      </c>
      <c r="N90" t="s">
        <v>51</v>
      </c>
      <c r="O90" t="s">
        <v>60</v>
      </c>
      <c r="P90" t="s">
        <v>31</v>
      </c>
      <c r="Q90" t="s">
        <v>33</v>
      </c>
      <c r="R90" t="s">
        <v>33</v>
      </c>
      <c r="S90">
        <v>12693400</v>
      </c>
      <c r="T90" t="s">
        <v>543</v>
      </c>
      <c r="U90">
        <v>6</v>
      </c>
    </row>
    <row r="91" spans="1:21" x14ac:dyDescent="0.25">
      <c r="A91" t="s">
        <v>226</v>
      </c>
      <c r="B91" s="9">
        <v>46192</v>
      </c>
      <c r="C91">
        <v>2026</v>
      </c>
      <c r="D91" t="s">
        <v>42</v>
      </c>
      <c r="E91" t="s">
        <v>556</v>
      </c>
      <c r="F91" t="s">
        <v>35</v>
      </c>
      <c r="G91" t="s">
        <v>49</v>
      </c>
      <c r="H91" t="s">
        <v>49</v>
      </c>
      <c r="I91" t="s">
        <v>42</v>
      </c>
      <c r="J91" t="s">
        <v>115</v>
      </c>
      <c r="K91" t="s">
        <v>49</v>
      </c>
      <c r="L91">
        <v>4278300</v>
      </c>
      <c r="M91">
        <v>0</v>
      </c>
      <c r="N91" t="s">
        <v>39</v>
      </c>
      <c r="O91" t="s">
        <v>72</v>
      </c>
      <c r="P91" t="s">
        <v>31</v>
      </c>
      <c r="Q91" t="s">
        <v>33</v>
      </c>
      <c r="R91" t="s">
        <v>33</v>
      </c>
      <c r="S91">
        <v>7644700</v>
      </c>
      <c r="T91" t="s">
        <v>543</v>
      </c>
      <c r="U91">
        <v>6</v>
      </c>
    </row>
    <row r="92" spans="1:21" x14ac:dyDescent="0.25">
      <c r="A92" t="s">
        <v>168</v>
      </c>
      <c r="B92" s="9">
        <v>46126</v>
      </c>
      <c r="C92">
        <v>2026</v>
      </c>
      <c r="D92" t="s">
        <v>23</v>
      </c>
      <c r="E92" t="s">
        <v>557</v>
      </c>
      <c r="F92" t="s">
        <v>35</v>
      </c>
      <c r="G92" t="s">
        <v>36</v>
      </c>
      <c r="H92" t="s">
        <v>36</v>
      </c>
      <c r="I92" t="s">
        <v>37</v>
      </c>
      <c r="J92" t="s">
        <v>38</v>
      </c>
      <c r="K92" t="s">
        <v>36</v>
      </c>
      <c r="L92">
        <v>4697100</v>
      </c>
      <c r="M92">
        <v>0</v>
      </c>
      <c r="N92" t="s">
        <v>39</v>
      </c>
      <c r="O92" t="s">
        <v>47</v>
      </c>
      <c r="P92" t="s">
        <v>31</v>
      </c>
      <c r="Q92" t="s">
        <v>33</v>
      </c>
      <c r="R92" t="s">
        <v>33</v>
      </c>
      <c r="S92">
        <v>27609900</v>
      </c>
      <c r="T92" t="s">
        <v>534</v>
      </c>
      <c r="U92">
        <v>4</v>
      </c>
    </row>
    <row r="93" spans="1:21" x14ac:dyDescent="0.25">
      <c r="A93" t="s">
        <v>223</v>
      </c>
      <c r="B93" s="9">
        <v>46188</v>
      </c>
      <c r="C93">
        <v>2026</v>
      </c>
      <c r="D93" t="s">
        <v>68</v>
      </c>
      <c r="E93" t="s">
        <v>554</v>
      </c>
      <c r="F93" t="s">
        <v>35</v>
      </c>
      <c r="G93" t="s">
        <v>95</v>
      </c>
      <c r="H93" t="s">
        <v>96</v>
      </c>
      <c r="I93" t="s">
        <v>27</v>
      </c>
      <c r="J93" t="s">
        <v>87</v>
      </c>
      <c r="K93" t="s">
        <v>96</v>
      </c>
      <c r="L93">
        <v>817400</v>
      </c>
      <c r="M93">
        <v>0</v>
      </c>
      <c r="N93" t="s">
        <v>58</v>
      </c>
      <c r="O93" t="s">
        <v>30</v>
      </c>
      <c r="P93" t="s">
        <v>31</v>
      </c>
      <c r="Q93" t="s">
        <v>33</v>
      </c>
      <c r="R93" t="s">
        <v>33</v>
      </c>
      <c r="S93">
        <v>5331100</v>
      </c>
      <c r="T93" t="s">
        <v>543</v>
      </c>
      <c r="U93">
        <v>6</v>
      </c>
    </row>
    <row r="94" spans="1:21" x14ac:dyDescent="0.25">
      <c r="A94" t="s">
        <v>220</v>
      </c>
      <c r="B94" s="9">
        <v>46185</v>
      </c>
      <c r="C94">
        <v>2026</v>
      </c>
      <c r="D94" t="s">
        <v>68</v>
      </c>
      <c r="E94" t="s">
        <v>553</v>
      </c>
      <c r="F94" t="s">
        <v>35</v>
      </c>
      <c r="G94" t="s">
        <v>95</v>
      </c>
      <c r="H94" t="s">
        <v>96</v>
      </c>
      <c r="I94" t="s">
        <v>27</v>
      </c>
      <c r="J94" t="s">
        <v>46</v>
      </c>
      <c r="K94" t="s">
        <v>96</v>
      </c>
      <c r="L94">
        <v>247900</v>
      </c>
      <c r="M94">
        <v>0</v>
      </c>
      <c r="N94" t="s">
        <v>51</v>
      </c>
      <c r="O94" t="s">
        <v>66</v>
      </c>
      <c r="P94" t="s">
        <v>31</v>
      </c>
      <c r="Q94" t="s">
        <v>32</v>
      </c>
      <c r="R94" t="s">
        <v>32</v>
      </c>
      <c r="S94">
        <v>6854300</v>
      </c>
      <c r="T94" t="s">
        <v>543</v>
      </c>
      <c r="U94">
        <v>6</v>
      </c>
    </row>
    <row r="95" spans="1:21" x14ac:dyDescent="0.25">
      <c r="A95" t="s">
        <v>218</v>
      </c>
      <c r="B95" s="9">
        <v>46183</v>
      </c>
      <c r="C95">
        <v>2026</v>
      </c>
      <c r="D95" t="s">
        <v>23</v>
      </c>
      <c r="E95" t="s">
        <v>552</v>
      </c>
      <c r="F95" t="s">
        <v>35</v>
      </c>
      <c r="G95" t="s">
        <v>49</v>
      </c>
      <c r="H95" t="s">
        <v>49</v>
      </c>
      <c r="I95" t="s">
        <v>37</v>
      </c>
      <c r="J95" t="s">
        <v>92</v>
      </c>
      <c r="K95" t="s">
        <v>49</v>
      </c>
      <c r="L95">
        <v>4826700</v>
      </c>
      <c r="M95">
        <v>0</v>
      </c>
      <c r="N95" t="s">
        <v>58</v>
      </c>
      <c r="O95" t="s">
        <v>40</v>
      </c>
      <c r="P95" t="s">
        <v>31</v>
      </c>
      <c r="Q95" t="s">
        <v>33</v>
      </c>
      <c r="R95" t="s">
        <v>33</v>
      </c>
      <c r="S95">
        <v>7463600</v>
      </c>
      <c r="T95" t="s">
        <v>543</v>
      </c>
      <c r="U95">
        <v>6</v>
      </c>
    </row>
    <row r="96" spans="1:21" x14ac:dyDescent="0.25">
      <c r="A96" t="s">
        <v>216</v>
      </c>
      <c r="B96" s="9">
        <v>46180</v>
      </c>
      <c r="C96">
        <v>2026</v>
      </c>
      <c r="D96" t="s">
        <v>42</v>
      </c>
      <c r="E96" t="s">
        <v>553</v>
      </c>
      <c r="F96" t="s">
        <v>35</v>
      </c>
      <c r="G96" t="s">
        <v>36</v>
      </c>
      <c r="H96" t="s">
        <v>36</v>
      </c>
      <c r="I96" t="s">
        <v>50</v>
      </c>
      <c r="J96" t="s">
        <v>38</v>
      </c>
      <c r="K96" t="s">
        <v>36</v>
      </c>
      <c r="L96">
        <v>2134800</v>
      </c>
      <c r="M96">
        <v>0</v>
      </c>
      <c r="N96" t="s">
        <v>29</v>
      </c>
      <c r="O96" t="s">
        <v>60</v>
      </c>
      <c r="P96" t="s">
        <v>31</v>
      </c>
      <c r="Q96" t="s">
        <v>32</v>
      </c>
      <c r="R96" t="s">
        <v>33</v>
      </c>
      <c r="S96">
        <v>3033500</v>
      </c>
      <c r="T96" t="s">
        <v>543</v>
      </c>
      <c r="U96">
        <v>6</v>
      </c>
    </row>
    <row r="97" spans="1:21" x14ac:dyDescent="0.25">
      <c r="A97" t="s">
        <v>214</v>
      </c>
      <c r="B97" s="9">
        <v>46178</v>
      </c>
      <c r="C97">
        <v>2026</v>
      </c>
      <c r="D97" t="s">
        <v>68</v>
      </c>
      <c r="E97" t="s">
        <v>554</v>
      </c>
      <c r="F97" t="s">
        <v>35</v>
      </c>
      <c r="G97" t="s">
        <v>36</v>
      </c>
      <c r="H97" t="s">
        <v>36</v>
      </c>
      <c r="I97" t="s">
        <v>56</v>
      </c>
      <c r="J97" t="s">
        <v>46</v>
      </c>
      <c r="K97" t="s">
        <v>36</v>
      </c>
      <c r="L97">
        <v>1723200</v>
      </c>
      <c r="M97">
        <v>0</v>
      </c>
      <c r="N97" t="s">
        <v>58</v>
      </c>
      <c r="O97" t="s">
        <v>47</v>
      </c>
      <c r="P97" t="s">
        <v>31</v>
      </c>
      <c r="Q97" t="s">
        <v>32</v>
      </c>
      <c r="R97" t="s">
        <v>33</v>
      </c>
      <c r="S97">
        <v>1610900</v>
      </c>
      <c r="T97" t="s">
        <v>543</v>
      </c>
      <c r="U97">
        <v>6</v>
      </c>
    </row>
    <row r="98" spans="1:21" x14ac:dyDescent="0.25">
      <c r="A98" t="s">
        <v>206</v>
      </c>
      <c r="B98" s="9">
        <v>46167</v>
      </c>
      <c r="C98">
        <v>2026</v>
      </c>
      <c r="D98" t="s">
        <v>23</v>
      </c>
      <c r="E98" t="s">
        <v>554</v>
      </c>
      <c r="F98" t="s">
        <v>35</v>
      </c>
      <c r="G98" t="s">
        <v>36</v>
      </c>
      <c r="H98" t="s">
        <v>36</v>
      </c>
      <c r="I98" t="s">
        <v>37</v>
      </c>
      <c r="J98" t="s">
        <v>57</v>
      </c>
      <c r="K98" t="s">
        <v>36</v>
      </c>
      <c r="L98">
        <v>464300</v>
      </c>
      <c r="M98">
        <v>0</v>
      </c>
      <c r="N98" t="s">
        <v>39</v>
      </c>
      <c r="O98" t="s">
        <v>47</v>
      </c>
      <c r="P98" t="s">
        <v>31</v>
      </c>
      <c r="Q98" t="s">
        <v>33</v>
      </c>
      <c r="R98" t="s">
        <v>33</v>
      </c>
      <c r="S98">
        <v>7202400</v>
      </c>
      <c r="T98" t="s">
        <v>532</v>
      </c>
      <c r="U98">
        <v>5</v>
      </c>
    </row>
    <row r="99" spans="1:21" x14ac:dyDescent="0.25">
      <c r="A99" t="s">
        <v>205</v>
      </c>
      <c r="B99" s="9">
        <v>46166</v>
      </c>
      <c r="C99">
        <v>2026</v>
      </c>
      <c r="D99" t="s">
        <v>42</v>
      </c>
      <c r="E99" t="s">
        <v>556</v>
      </c>
      <c r="F99" t="s">
        <v>35</v>
      </c>
      <c r="G99" t="s">
        <v>36</v>
      </c>
      <c r="H99" t="s">
        <v>36</v>
      </c>
      <c r="I99" t="s">
        <v>27</v>
      </c>
      <c r="J99" t="s">
        <v>92</v>
      </c>
      <c r="K99" t="s">
        <v>36</v>
      </c>
      <c r="L99">
        <v>5448100</v>
      </c>
      <c r="M99">
        <v>0</v>
      </c>
      <c r="N99" t="s">
        <v>58</v>
      </c>
      <c r="O99" t="s">
        <v>66</v>
      </c>
      <c r="P99" t="s">
        <v>31</v>
      </c>
      <c r="Q99" t="s">
        <v>32</v>
      </c>
      <c r="R99" t="s">
        <v>33</v>
      </c>
      <c r="S99">
        <v>6738100</v>
      </c>
      <c r="T99" t="s">
        <v>532</v>
      </c>
      <c r="U99">
        <v>5</v>
      </c>
    </row>
    <row r="100" spans="1:21" x14ac:dyDescent="0.25">
      <c r="A100" t="s">
        <v>190</v>
      </c>
      <c r="B100" s="9">
        <v>46149</v>
      </c>
      <c r="C100">
        <v>2026</v>
      </c>
      <c r="D100" t="s">
        <v>23</v>
      </c>
      <c r="E100" t="s">
        <v>555</v>
      </c>
      <c r="F100" t="s">
        <v>35</v>
      </c>
      <c r="G100" t="s">
        <v>36</v>
      </c>
      <c r="H100" t="s">
        <v>36</v>
      </c>
      <c r="I100" t="s">
        <v>27</v>
      </c>
      <c r="J100" t="s">
        <v>87</v>
      </c>
      <c r="K100" t="s">
        <v>36</v>
      </c>
      <c r="L100">
        <v>1513800</v>
      </c>
      <c r="M100">
        <v>0</v>
      </c>
      <c r="N100" t="s">
        <v>58</v>
      </c>
      <c r="O100" t="s">
        <v>60</v>
      </c>
      <c r="P100" t="s">
        <v>31</v>
      </c>
      <c r="Q100" t="s">
        <v>33</v>
      </c>
      <c r="R100" t="s">
        <v>33</v>
      </c>
      <c r="S100">
        <v>15871300</v>
      </c>
      <c r="T100" t="s">
        <v>532</v>
      </c>
      <c r="U100">
        <v>5</v>
      </c>
    </row>
    <row r="101" spans="1:21" x14ac:dyDescent="0.25">
      <c r="A101" t="s">
        <v>188</v>
      </c>
      <c r="B101" s="9">
        <v>46147</v>
      </c>
      <c r="C101">
        <v>2026</v>
      </c>
      <c r="D101" t="s">
        <v>42</v>
      </c>
      <c r="E101" t="s">
        <v>556</v>
      </c>
      <c r="F101" t="s">
        <v>35</v>
      </c>
      <c r="G101" t="s">
        <v>49</v>
      </c>
      <c r="H101" t="s">
        <v>49</v>
      </c>
      <c r="I101" t="s">
        <v>45</v>
      </c>
      <c r="J101" t="s">
        <v>115</v>
      </c>
      <c r="K101" t="s">
        <v>49</v>
      </c>
      <c r="L101">
        <v>1487000</v>
      </c>
      <c r="M101">
        <v>0</v>
      </c>
      <c r="N101" t="s">
        <v>51</v>
      </c>
      <c r="O101" t="s">
        <v>109</v>
      </c>
      <c r="P101" t="s">
        <v>31</v>
      </c>
      <c r="Q101" t="s">
        <v>32</v>
      </c>
      <c r="R101" t="s">
        <v>33</v>
      </c>
      <c r="S101">
        <v>15900100</v>
      </c>
      <c r="T101" t="s">
        <v>532</v>
      </c>
      <c r="U101">
        <v>5</v>
      </c>
    </row>
    <row r="102" spans="1:21" x14ac:dyDescent="0.25">
      <c r="A102" t="s">
        <v>187</v>
      </c>
      <c r="B102" s="9">
        <v>46146</v>
      </c>
      <c r="C102">
        <v>2026</v>
      </c>
      <c r="D102" t="s">
        <v>42</v>
      </c>
      <c r="E102" t="s">
        <v>557</v>
      </c>
      <c r="F102" t="s">
        <v>35</v>
      </c>
      <c r="G102" t="s">
        <v>95</v>
      </c>
      <c r="H102" t="s">
        <v>96</v>
      </c>
      <c r="I102" t="s">
        <v>42</v>
      </c>
      <c r="J102" t="s">
        <v>87</v>
      </c>
      <c r="K102" t="s">
        <v>96</v>
      </c>
      <c r="L102">
        <v>6054100</v>
      </c>
      <c r="M102">
        <v>0</v>
      </c>
      <c r="N102" t="s">
        <v>51</v>
      </c>
      <c r="O102" t="s">
        <v>76</v>
      </c>
      <c r="P102" t="s">
        <v>31</v>
      </c>
      <c r="Q102" t="s">
        <v>33</v>
      </c>
      <c r="R102" t="s">
        <v>32</v>
      </c>
      <c r="S102">
        <v>14413100</v>
      </c>
      <c r="T102" t="s">
        <v>532</v>
      </c>
      <c r="U102">
        <v>5</v>
      </c>
    </row>
    <row r="103" spans="1:21" x14ac:dyDescent="0.25">
      <c r="B103" s="9"/>
      <c r="E103" t="s">
        <v>557</v>
      </c>
    </row>
    <row r="104" spans="1:21" x14ac:dyDescent="0.25">
      <c r="B104" s="9"/>
      <c r="E104" t="s">
        <v>552</v>
      </c>
    </row>
    <row r="105" spans="1:21" x14ac:dyDescent="0.25">
      <c r="B105" s="9"/>
      <c r="E105" t="s">
        <v>552</v>
      </c>
    </row>
    <row r="106" spans="1:21" x14ac:dyDescent="0.25">
      <c r="B106" s="9"/>
      <c r="E106" t="s">
        <v>555</v>
      </c>
    </row>
    <row r="107" spans="1:21" x14ac:dyDescent="0.25">
      <c r="B107" s="9"/>
      <c r="E107" t="s">
        <v>552</v>
      </c>
    </row>
    <row r="108" spans="1:21" x14ac:dyDescent="0.25">
      <c r="B108" s="9"/>
      <c r="E108" t="s">
        <v>557</v>
      </c>
    </row>
    <row r="109" spans="1:21" x14ac:dyDescent="0.25">
      <c r="B109" s="9"/>
      <c r="E109" t="s">
        <v>554</v>
      </c>
    </row>
    <row r="110" spans="1:21" x14ac:dyDescent="0.25">
      <c r="B110" s="9"/>
      <c r="E110" t="s">
        <v>557</v>
      </c>
    </row>
    <row r="111" spans="1:21" x14ac:dyDescent="0.25">
      <c r="B111" s="9"/>
      <c r="E111" t="s">
        <v>554</v>
      </c>
    </row>
    <row r="112" spans="1:21" x14ac:dyDescent="0.25">
      <c r="B112" s="9"/>
      <c r="E112" t="s">
        <v>556</v>
      </c>
    </row>
    <row r="113" spans="2:5" x14ac:dyDescent="0.25">
      <c r="B113" s="9"/>
      <c r="E113" t="s">
        <v>556</v>
      </c>
    </row>
    <row r="114" spans="2:5" x14ac:dyDescent="0.25">
      <c r="B114" s="9"/>
      <c r="E114" t="s">
        <v>552</v>
      </c>
    </row>
    <row r="115" spans="2:5" x14ac:dyDescent="0.25">
      <c r="B115" s="9"/>
      <c r="E115" t="s">
        <v>554</v>
      </c>
    </row>
    <row r="116" spans="2:5" x14ac:dyDescent="0.25">
      <c r="B116" s="9"/>
      <c r="E116" t="s">
        <v>555</v>
      </c>
    </row>
    <row r="117" spans="2:5" x14ac:dyDescent="0.25">
      <c r="B117" s="9"/>
      <c r="E117" t="s">
        <v>555</v>
      </c>
    </row>
    <row r="118" spans="2:5" x14ac:dyDescent="0.25">
      <c r="B118" s="9"/>
      <c r="E118" t="s">
        <v>556</v>
      </c>
    </row>
    <row r="119" spans="2:5" x14ac:dyDescent="0.25">
      <c r="B119" s="9"/>
      <c r="E119" t="s">
        <v>556</v>
      </c>
    </row>
    <row r="120" spans="2:5" x14ac:dyDescent="0.25">
      <c r="B120" s="9"/>
      <c r="E120" t="s">
        <v>555</v>
      </c>
    </row>
    <row r="121" spans="2:5" x14ac:dyDescent="0.25">
      <c r="B121" s="9"/>
      <c r="E121" t="s">
        <v>555</v>
      </c>
    </row>
    <row r="122" spans="2:5" x14ac:dyDescent="0.25">
      <c r="B122" s="9"/>
      <c r="E122" t="s">
        <v>552</v>
      </c>
    </row>
    <row r="123" spans="2:5" x14ac:dyDescent="0.25">
      <c r="B123" s="9"/>
      <c r="E123" t="s">
        <v>555</v>
      </c>
    </row>
    <row r="124" spans="2:5" x14ac:dyDescent="0.25">
      <c r="B124" s="9"/>
      <c r="E124" t="s">
        <v>557</v>
      </c>
    </row>
    <row r="125" spans="2:5" x14ac:dyDescent="0.25">
      <c r="B125" s="9"/>
      <c r="E125" t="s">
        <v>555</v>
      </c>
    </row>
    <row r="126" spans="2:5" x14ac:dyDescent="0.25">
      <c r="B126" s="9"/>
      <c r="E126" t="s">
        <v>554</v>
      </c>
    </row>
    <row r="127" spans="2:5" x14ac:dyDescent="0.25">
      <c r="B127" s="9"/>
      <c r="E127" t="s">
        <v>552</v>
      </c>
    </row>
    <row r="128" spans="2:5" x14ac:dyDescent="0.25">
      <c r="B128" s="9"/>
      <c r="E128" t="s">
        <v>555</v>
      </c>
    </row>
    <row r="129" spans="2:5" x14ac:dyDescent="0.25">
      <c r="B129" s="9"/>
      <c r="E129" t="s">
        <v>554</v>
      </c>
    </row>
    <row r="130" spans="2:5" x14ac:dyDescent="0.25">
      <c r="B130" s="9"/>
      <c r="E130" t="s">
        <v>555</v>
      </c>
    </row>
    <row r="131" spans="2:5" x14ac:dyDescent="0.25">
      <c r="B131" s="9"/>
      <c r="E131" t="s">
        <v>552</v>
      </c>
    </row>
    <row r="132" spans="2:5" x14ac:dyDescent="0.25">
      <c r="B132" s="9"/>
      <c r="E132" t="s">
        <v>556</v>
      </c>
    </row>
    <row r="133" spans="2:5" x14ac:dyDescent="0.25">
      <c r="B133" s="9"/>
      <c r="E133" t="s">
        <v>554</v>
      </c>
    </row>
    <row r="134" spans="2:5" x14ac:dyDescent="0.25">
      <c r="B134" s="9"/>
      <c r="E134" t="s">
        <v>552</v>
      </c>
    </row>
    <row r="135" spans="2:5" x14ac:dyDescent="0.25">
      <c r="B135" s="9"/>
      <c r="E135" t="s">
        <v>553</v>
      </c>
    </row>
    <row r="136" spans="2:5" x14ac:dyDescent="0.25">
      <c r="B136" s="9"/>
      <c r="E136" t="s">
        <v>557</v>
      </c>
    </row>
    <row r="137" spans="2:5" x14ac:dyDescent="0.25">
      <c r="B137" s="9"/>
      <c r="E137" t="s">
        <v>556</v>
      </c>
    </row>
    <row r="138" spans="2:5" x14ac:dyDescent="0.25">
      <c r="B138" s="9"/>
      <c r="E138" t="s">
        <v>554</v>
      </c>
    </row>
    <row r="139" spans="2:5" x14ac:dyDescent="0.25">
      <c r="B139" s="9"/>
      <c r="E139" t="s">
        <v>556</v>
      </c>
    </row>
    <row r="140" spans="2:5" x14ac:dyDescent="0.25">
      <c r="B140" s="9"/>
      <c r="E140" t="s">
        <v>553</v>
      </c>
    </row>
    <row r="141" spans="2:5" x14ac:dyDescent="0.25">
      <c r="B141" s="9"/>
      <c r="E141" t="s">
        <v>552</v>
      </c>
    </row>
    <row r="142" spans="2:5" x14ac:dyDescent="0.25">
      <c r="B142" s="9"/>
      <c r="E142" t="s">
        <v>553</v>
      </c>
    </row>
    <row r="143" spans="2:5" x14ac:dyDescent="0.25">
      <c r="B143" s="9"/>
      <c r="E143" t="s">
        <v>555</v>
      </c>
    </row>
    <row r="144" spans="2:5" x14ac:dyDescent="0.25">
      <c r="B144" s="9"/>
      <c r="E144" t="s">
        <v>553</v>
      </c>
    </row>
    <row r="145" spans="2:5" x14ac:dyDescent="0.25">
      <c r="B145" s="9"/>
      <c r="E145" t="s">
        <v>554</v>
      </c>
    </row>
    <row r="146" spans="2:5" x14ac:dyDescent="0.25">
      <c r="B146" s="9"/>
      <c r="E146" t="s">
        <v>554</v>
      </c>
    </row>
    <row r="147" spans="2:5" x14ac:dyDescent="0.25">
      <c r="B147" s="9"/>
      <c r="E147" t="s">
        <v>554</v>
      </c>
    </row>
    <row r="148" spans="2:5" x14ac:dyDescent="0.25">
      <c r="B148" s="9"/>
      <c r="E148" t="s">
        <v>556</v>
      </c>
    </row>
    <row r="149" spans="2:5" x14ac:dyDescent="0.25">
      <c r="B149" s="9"/>
      <c r="E149" t="s">
        <v>553</v>
      </c>
    </row>
    <row r="150" spans="2:5" x14ac:dyDescent="0.25">
      <c r="B150" s="9"/>
      <c r="E150" t="s">
        <v>554</v>
      </c>
    </row>
    <row r="151" spans="2:5" x14ac:dyDescent="0.25">
      <c r="B151" s="9"/>
      <c r="E151" t="s">
        <v>554</v>
      </c>
    </row>
    <row r="152" spans="2:5" x14ac:dyDescent="0.25">
      <c r="B152" s="9"/>
      <c r="E152" t="s">
        <v>557</v>
      </c>
    </row>
    <row r="153" spans="2:5" x14ac:dyDescent="0.25">
      <c r="B153" s="9"/>
      <c r="E153" t="s">
        <v>552</v>
      </c>
    </row>
    <row r="154" spans="2:5" x14ac:dyDescent="0.25">
      <c r="B154" s="9"/>
      <c r="E154" t="s">
        <v>553</v>
      </c>
    </row>
    <row r="155" spans="2:5" x14ac:dyDescent="0.25">
      <c r="B155" s="9"/>
      <c r="E155" t="s">
        <v>554</v>
      </c>
    </row>
    <row r="156" spans="2:5" x14ac:dyDescent="0.25">
      <c r="B156" s="9"/>
      <c r="E156" t="s">
        <v>557</v>
      </c>
    </row>
    <row r="157" spans="2:5" x14ac:dyDescent="0.25">
      <c r="B157" s="9"/>
      <c r="E157" t="s">
        <v>552</v>
      </c>
    </row>
    <row r="158" spans="2:5" x14ac:dyDescent="0.25">
      <c r="B158" s="9"/>
      <c r="E158" t="s">
        <v>555</v>
      </c>
    </row>
    <row r="159" spans="2:5" x14ac:dyDescent="0.25">
      <c r="B159" s="9"/>
      <c r="E159" t="s">
        <v>554</v>
      </c>
    </row>
    <row r="160" spans="2:5" x14ac:dyDescent="0.25">
      <c r="B160" s="9"/>
      <c r="E160" t="s">
        <v>552</v>
      </c>
    </row>
    <row r="161" spans="2:5" x14ac:dyDescent="0.25">
      <c r="B161" s="9"/>
      <c r="E161" t="s">
        <v>555</v>
      </c>
    </row>
    <row r="162" spans="2:5" x14ac:dyDescent="0.25">
      <c r="B162" s="9"/>
      <c r="E162" t="s">
        <v>554</v>
      </c>
    </row>
    <row r="163" spans="2:5" x14ac:dyDescent="0.25">
      <c r="B163" s="9"/>
      <c r="E163" t="s">
        <v>553</v>
      </c>
    </row>
    <row r="164" spans="2:5" x14ac:dyDescent="0.25">
      <c r="B164" s="9"/>
      <c r="E164" t="s">
        <v>553</v>
      </c>
    </row>
    <row r="165" spans="2:5" x14ac:dyDescent="0.25">
      <c r="B165" s="9"/>
      <c r="E165" t="s">
        <v>556</v>
      </c>
    </row>
    <row r="166" spans="2:5" x14ac:dyDescent="0.25">
      <c r="B166" s="9"/>
      <c r="E166" t="s">
        <v>553</v>
      </c>
    </row>
    <row r="167" spans="2:5" x14ac:dyDescent="0.25">
      <c r="B167" s="9"/>
      <c r="E167" t="s">
        <v>553</v>
      </c>
    </row>
    <row r="168" spans="2:5" x14ac:dyDescent="0.25">
      <c r="B168" s="9"/>
      <c r="E168" t="s">
        <v>553</v>
      </c>
    </row>
    <row r="169" spans="2:5" x14ac:dyDescent="0.25">
      <c r="B169" s="9"/>
      <c r="E169" t="s">
        <v>555</v>
      </c>
    </row>
    <row r="170" spans="2:5" x14ac:dyDescent="0.25">
      <c r="B170" s="9"/>
      <c r="E170" t="s">
        <v>553</v>
      </c>
    </row>
    <row r="171" spans="2:5" x14ac:dyDescent="0.25">
      <c r="B171" s="9"/>
      <c r="E171" t="s">
        <v>556</v>
      </c>
    </row>
    <row r="172" spans="2:5" x14ac:dyDescent="0.25">
      <c r="B172" s="9"/>
      <c r="E172" t="s">
        <v>554</v>
      </c>
    </row>
    <row r="173" spans="2:5" x14ac:dyDescent="0.25">
      <c r="B173" s="9"/>
      <c r="E173" t="s">
        <v>557</v>
      </c>
    </row>
    <row r="174" spans="2:5" x14ac:dyDescent="0.25">
      <c r="B174" s="9"/>
      <c r="E174" t="s">
        <v>553</v>
      </c>
    </row>
    <row r="175" spans="2:5" x14ac:dyDescent="0.25">
      <c r="B175" s="9"/>
      <c r="E175" t="s">
        <v>552</v>
      </c>
    </row>
    <row r="176" spans="2:5" x14ac:dyDescent="0.25">
      <c r="B176" s="9"/>
      <c r="E176" t="s">
        <v>552</v>
      </c>
    </row>
    <row r="177" spans="2:5" x14ac:dyDescent="0.25">
      <c r="B177" s="9"/>
      <c r="E177" t="s">
        <v>556</v>
      </c>
    </row>
    <row r="178" spans="2:5" x14ac:dyDescent="0.25">
      <c r="B178" s="9"/>
      <c r="E178" t="s">
        <v>553</v>
      </c>
    </row>
    <row r="179" spans="2:5" x14ac:dyDescent="0.25">
      <c r="B179" s="9"/>
      <c r="E179" t="s">
        <v>554</v>
      </c>
    </row>
    <row r="180" spans="2:5" x14ac:dyDescent="0.25">
      <c r="B180" s="9"/>
      <c r="E180" t="s">
        <v>557</v>
      </c>
    </row>
    <row r="181" spans="2:5" x14ac:dyDescent="0.25">
      <c r="B181" s="9"/>
      <c r="E181" t="s">
        <v>552</v>
      </c>
    </row>
    <row r="182" spans="2:5" x14ac:dyDescent="0.25">
      <c r="B182" s="9"/>
      <c r="E182" t="s">
        <v>557</v>
      </c>
    </row>
    <row r="183" spans="2:5" x14ac:dyDescent="0.25">
      <c r="B183" s="9"/>
      <c r="E183" t="s">
        <v>557</v>
      </c>
    </row>
    <row r="184" spans="2:5" x14ac:dyDescent="0.25">
      <c r="B184" s="9"/>
      <c r="E184" t="s">
        <v>552</v>
      </c>
    </row>
    <row r="185" spans="2:5" x14ac:dyDescent="0.25">
      <c r="B185" s="9"/>
      <c r="E185" t="s">
        <v>553</v>
      </c>
    </row>
    <row r="186" spans="2:5" x14ac:dyDescent="0.25">
      <c r="B186" s="9"/>
      <c r="E186" t="s">
        <v>555</v>
      </c>
    </row>
    <row r="187" spans="2:5" x14ac:dyDescent="0.25">
      <c r="B187" s="9"/>
      <c r="E187" t="s">
        <v>557</v>
      </c>
    </row>
    <row r="188" spans="2:5" x14ac:dyDescent="0.25">
      <c r="B188" s="9"/>
      <c r="E188" t="s">
        <v>557</v>
      </c>
    </row>
    <row r="189" spans="2:5" x14ac:dyDescent="0.25">
      <c r="B189" s="9"/>
      <c r="E189" t="s">
        <v>555</v>
      </c>
    </row>
    <row r="190" spans="2:5" x14ac:dyDescent="0.25">
      <c r="B190" s="9"/>
      <c r="E190" t="s">
        <v>555</v>
      </c>
    </row>
    <row r="191" spans="2:5" x14ac:dyDescent="0.25">
      <c r="B191" s="9"/>
      <c r="E191" t="s">
        <v>555</v>
      </c>
    </row>
    <row r="192" spans="2:5" x14ac:dyDescent="0.25">
      <c r="B192" s="9"/>
      <c r="E192" t="s">
        <v>556</v>
      </c>
    </row>
    <row r="193" spans="2:5" x14ac:dyDescent="0.25">
      <c r="B193" s="9"/>
      <c r="E193" t="s">
        <v>554</v>
      </c>
    </row>
    <row r="194" spans="2:5" x14ac:dyDescent="0.25">
      <c r="B194" s="9"/>
      <c r="E194" t="s">
        <v>555</v>
      </c>
    </row>
    <row r="195" spans="2:5" x14ac:dyDescent="0.25">
      <c r="B195" s="9"/>
      <c r="E195" t="s">
        <v>557</v>
      </c>
    </row>
    <row r="196" spans="2:5" x14ac:dyDescent="0.25">
      <c r="B196" s="9"/>
      <c r="E196" t="s">
        <v>554</v>
      </c>
    </row>
    <row r="197" spans="2:5" x14ac:dyDescent="0.25">
      <c r="B197" s="9"/>
      <c r="E197" t="s">
        <v>554</v>
      </c>
    </row>
    <row r="198" spans="2:5" x14ac:dyDescent="0.25">
      <c r="B198" s="9"/>
      <c r="E198" t="s">
        <v>554</v>
      </c>
    </row>
    <row r="199" spans="2:5" x14ac:dyDescent="0.25">
      <c r="B199" s="9"/>
      <c r="E199" t="s">
        <v>554</v>
      </c>
    </row>
    <row r="200" spans="2:5" x14ac:dyDescent="0.25">
      <c r="B200" s="9"/>
      <c r="E200" t="s">
        <v>556</v>
      </c>
    </row>
    <row r="201" spans="2:5" x14ac:dyDescent="0.25">
      <c r="B201" s="9"/>
      <c r="E201" t="s">
        <v>554</v>
      </c>
    </row>
    <row r="202" spans="2:5" x14ac:dyDescent="0.25">
      <c r="B202" s="9"/>
      <c r="E202" t="s">
        <v>555</v>
      </c>
    </row>
    <row r="203" spans="2:5" x14ac:dyDescent="0.25">
      <c r="B203" s="9"/>
      <c r="E203" t="s">
        <v>554</v>
      </c>
    </row>
    <row r="204" spans="2:5" x14ac:dyDescent="0.25">
      <c r="B204" s="9"/>
      <c r="E204" t="s">
        <v>556</v>
      </c>
    </row>
    <row r="205" spans="2:5" x14ac:dyDescent="0.25">
      <c r="B205" s="9"/>
      <c r="E205" t="s">
        <v>553</v>
      </c>
    </row>
    <row r="206" spans="2:5" x14ac:dyDescent="0.25">
      <c r="B206" s="9"/>
      <c r="E206" t="s">
        <v>556</v>
      </c>
    </row>
    <row r="207" spans="2:5" x14ac:dyDescent="0.25">
      <c r="B207" s="9"/>
      <c r="E207" t="s">
        <v>553</v>
      </c>
    </row>
    <row r="208" spans="2:5" x14ac:dyDescent="0.25">
      <c r="B208" s="9"/>
      <c r="E208" t="s">
        <v>554</v>
      </c>
    </row>
    <row r="209" spans="2:5" x14ac:dyDescent="0.25">
      <c r="B209" s="9"/>
      <c r="E209" t="s">
        <v>553</v>
      </c>
    </row>
    <row r="210" spans="2:5" x14ac:dyDescent="0.25">
      <c r="B210" s="9"/>
      <c r="E210" t="s">
        <v>556</v>
      </c>
    </row>
    <row r="211" spans="2:5" x14ac:dyDescent="0.25">
      <c r="B211" s="9"/>
      <c r="E211" t="s">
        <v>552</v>
      </c>
    </row>
    <row r="212" spans="2:5" x14ac:dyDescent="0.25">
      <c r="B212" s="9"/>
      <c r="E212" t="s">
        <v>557</v>
      </c>
    </row>
    <row r="213" spans="2:5" x14ac:dyDescent="0.25">
      <c r="B213" s="9"/>
      <c r="E213" t="s">
        <v>556</v>
      </c>
    </row>
    <row r="214" spans="2:5" x14ac:dyDescent="0.25">
      <c r="B214" s="9"/>
      <c r="E214" t="s">
        <v>556</v>
      </c>
    </row>
    <row r="215" spans="2:5" x14ac:dyDescent="0.25">
      <c r="B215" s="9"/>
      <c r="E215" t="s">
        <v>556</v>
      </c>
    </row>
    <row r="216" spans="2:5" x14ac:dyDescent="0.25">
      <c r="B216" s="9"/>
      <c r="E216" t="s">
        <v>557</v>
      </c>
    </row>
    <row r="217" spans="2:5" x14ac:dyDescent="0.25">
      <c r="B217" s="9"/>
      <c r="E217" t="s">
        <v>553</v>
      </c>
    </row>
    <row r="218" spans="2:5" x14ac:dyDescent="0.25">
      <c r="B218" s="9"/>
      <c r="E218" t="s">
        <v>557</v>
      </c>
    </row>
    <row r="219" spans="2:5" x14ac:dyDescent="0.25">
      <c r="B219" s="9"/>
      <c r="E219" t="s">
        <v>556</v>
      </c>
    </row>
    <row r="220" spans="2:5" x14ac:dyDescent="0.25">
      <c r="B220" s="9"/>
      <c r="E220" t="s">
        <v>552</v>
      </c>
    </row>
    <row r="221" spans="2:5" x14ac:dyDescent="0.25">
      <c r="B221" s="9"/>
      <c r="E221" t="s">
        <v>557</v>
      </c>
    </row>
    <row r="222" spans="2:5" x14ac:dyDescent="0.25">
      <c r="B222" s="9"/>
      <c r="E222" t="s">
        <v>556</v>
      </c>
    </row>
    <row r="223" spans="2:5" x14ac:dyDescent="0.25">
      <c r="B223" s="9"/>
      <c r="E223" t="s">
        <v>556</v>
      </c>
    </row>
    <row r="224" spans="2:5" x14ac:dyDescent="0.25">
      <c r="B224" s="9"/>
      <c r="E224" t="s">
        <v>553</v>
      </c>
    </row>
    <row r="225" spans="2:5" x14ac:dyDescent="0.25">
      <c r="B225" s="9"/>
      <c r="E225" t="s">
        <v>557</v>
      </c>
    </row>
    <row r="226" spans="2:5" x14ac:dyDescent="0.25">
      <c r="B226" s="9"/>
      <c r="E226" t="s">
        <v>554</v>
      </c>
    </row>
    <row r="227" spans="2:5" x14ac:dyDescent="0.25">
      <c r="B227" s="9"/>
      <c r="E227" t="s">
        <v>553</v>
      </c>
    </row>
    <row r="228" spans="2:5" x14ac:dyDescent="0.25">
      <c r="B228" s="9"/>
      <c r="E228" t="s">
        <v>555</v>
      </c>
    </row>
    <row r="229" spans="2:5" x14ac:dyDescent="0.25">
      <c r="B229" s="9"/>
      <c r="E229" t="s">
        <v>552</v>
      </c>
    </row>
    <row r="230" spans="2:5" x14ac:dyDescent="0.25">
      <c r="B230" s="9"/>
      <c r="E230" t="s">
        <v>552</v>
      </c>
    </row>
    <row r="231" spans="2:5" x14ac:dyDescent="0.25">
      <c r="B231" s="9"/>
      <c r="E231" t="s">
        <v>557</v>
      </c>
    </row>
    <row r="232" spans="2:5" x14ac:dyDescent="0.25">
      <c r="B232" s="9"/>
      <c r="E232" t="s">
        <v>552</v>
      </c>
    </row>
    <row r="233" spans="2:5" x14ac:dyDescent="0.25">
      <c r="B233" s="9"/>
      <c r="E233" t="s">
        <v>554</v>
      </c>
    </row>
    <row r="234" spans="2:5" x14ac:dyDescent="0.25">
      <c r="B234" s="9"/>
      <c r="E234" t="s">
        <v>556</v>
      </c>
    </row>
    <row r="235" spans="2:5" x14ac:dyDescent="0.25">
      <c r="B235" s="9"/>
      <c r="E235" t="s">
        <v>556</v>
      </c>
    </row>
    <row r="236" spans="2:5" x14ac:dyDescent="0.25">
      <c r="B236" s="9"/>
      <c r="E236" t="s">
        <v>554</v>
      </c>
    </row>
    <row r="237" spans="2:5" x14ac:dyDescent="0.25">
      <c r="B237" s="9"/>
      <c r="E237" t="s">
        <v>554</v>
      </c>
    </row>
    <row r="238" spans="2:5" x14ac:dyDescent="0.25">
      <c r="B238" s="9"/>
      <c r="E238" t="s">
        <v>554</v>
      </c>
    </row>
    <row r="239" spans="2:5" x14ac:dyDescent="0.25">
      <c r="B239" s="9"/>
      <c r="E239" t="s">
        <v>554</v>
      </c>
    </row>
    <row r="240" spans="2:5" x14ac:dyDescent="0.25">
      <c r="B240" s="9"/>
      <c r="E240" t="s">
        <v>552</v>
      </c>
    </row>
    <row r="241" spans="2:5" x14ac:dyDescent="0.25">
      <c r="B241" s="9"/>
      <c r="E241" t="s">
        <v>556</v>
      </c>
    </row>
    <row r="242" spans="2:5" x14ac:dyDescent="0.25">
      <c r="B242" s="9"/>
      <c r="E242" t="s">
        <v>553</v>
      </c>
    </row>
    <row r="243" spans="2:5" x14ac:dyDescent="0.25">
      <c r="B243" s="9"/>
      <c r="E243" t="s">
        <v>556</v>
      </c>
    </row>
    <row r="244" spans="2:5" x14ac:dyDescent="0.25">
      <c r="B244" s="9"/>
      <c r="E244" t="s">
        <v>555</v>
      </c>
    </row>
    <row r="245" spans="2:5" x14ac:dyDescent="0.25">
      <c r="B245" s="9"/>
      <c r="E245" t="s">
        <v>552</v>
      </c>
    </row>
    <row r="246" spans="2:5" x14ac:dyDescent="0.25">
      <c r="B246" s="9"/>
      <c r="E246" t="s">
        <v>555</v>
      </c>
    </row>
    <row r="247" spans="2:5" x14ac:dyDescent="0.25">
      <c r="B247" s="9"/>
      <c r="E247" t="s">
        <v>552</v>
      </c>
    </row>
    <row r="248" spans="2:5" x14ac:dyDescent="0.25">
      <c r="B248" s="9"/>
      <c r="E248" t="s">
        <v>554</v>
      </c>
    </row>
    <row r="249" spans="2:5" x14ac:dyDescent="0.25">
      <c r="B249" s="9"/>
      <c r="E249" t="s">
        <v>555</v>
      </c>
    </row>
    <row r="250" spans="2:5" x14ac:dyDescent="0.25">
      <c r="B250" s="9"/>
      <c r="E250" t="s">
        <v>553</v>
      </c>
    </row>
    <row r="251" spans="2:5" x14ac:dyDescent="0.25">
      <c r="B251" s="9"/>
      <c r="E251" t="s">
        <v>557</v>
      </c>
    </row>
    <row r="252" spans="2:5" x14ac:dyDescent="0.25">
      <c r="B252" s="9"/>
      <c r="E252" t="s">
        <v>556</v>
      </c>
    </row>
    <row r="253" spans="2:5" x14ac:dyDescent="0.25">
      <c r="B253" s="9"/>
      <c r="E253" t="s">
        <v>553</v>
      </c>
    </row>
    <row r="254" spans="2:5" x14ac:dyDescent="0.25">
      <c r="B254" s="9"/>
      <c r="E254" t="s">
        <v>557</v>
      </c>
    </row>
    <row r="255" spans="2:5" x14ac:dyDescent="0.25">
      <c r="B255" s="9"/>
      <c r="E255" t="s">
        <v>552</v>
      </c>
    </row>
    <row r="256" spans="2:5" x14ac:dyDescent="0.25">
      <c r="B256" s="9"/>
      <c r="E256" t="s">
        <v>553</v>
      </c>
    </row>
    <row r="257" spans="2:5" x14ac:dyDescent="0.25">
      <c r="B257" s="9"/>
      <c r="E257" t="s">
        <v>555</v>
      </c>
    </row>
    <row r="258" spans="2:5" x14ac:dyDescent="0.25">
      <c r="B258" s="9"/>
      <c r="E258" t="s">
        <v>557</v>
      </c>
    </row>
    <row r="259" spans="2:5" x14ac:dyDescent="0.25">
      <c r="B259" s="9"/>
      <c r="E259" t="s">
        <v>556</v>
      </c>
    </row>
    <row r="260" spans="2:5" x14ac:dyDescent="0.25">
      <c r="B260" s="9"/>
      <c r="E260" t="s">
        <v>557</v>
      </c>
    </row>
    <row r="261" spans="2:5" x14ac:dyDescent="0.25">
      <c r="B261" s="9"/>
      <c r="E261" t="s">
        <v>552</v>
      </c>
    </row>
    <row r="262" spans="2:5" x14ac:dyDescent="0.25">
      <c r="B262" s="9"/>
      <c r="E262" t="s">
        <v>555</v>
      </c>
    </row>
    <row r="263" spans="2:5" x14ac:dyDescent="0.25">
      <c r="B263" s="9"/>
      <c r="E263" t="s">
        <v>556</v>
      </c>
    </row>
    <row r="264" spans="2:5" x14ac:dyDescent="0.25">
      <c r="B264" s="9"/>
      <c r="E264" t="s">
        <v>555</v>
      </c>
    </row>
    <row r="265" spans="2:5" x14ac:dyDescent="0.25">
      <c r="B265" s="9"/>
      <c r="E265" t="s">
        <v>552</v>
      </c>
    </row>
    <row r="266" spans="2:5" x14ac:dyDescent="0.25">
      <c r="B266" s="9"/>
      <c r="E266" t="s">
        <v>557</v>
      </c>
    </row>
    <row r="267" spans="2:5" x14ac:dyDescent="0.25">
      <c r="B267" s="9"/>
      <c r="E267" t="s">
        <v>552</v>
      </c>
    </row>
    <row r="268" spans="2:5" x14ac:dyDescent="0.25">
      <c r="B268" s="9"/>
      <c r="E268" t="s">
        <v>553</v>
      </c>
    </row>
    <row r="269" spans="2:5" x14ac:dyDescent="0.25">
      <c r="B269" s="9"/>
      <c r="E269" t="s">
        <v>552</v>
      </c>
    </row>
    <row r="270" spans="2:5" x14ac:dyDescent="0.25">
      <c r="B270" s="9"/>
      <c r="E270" t="s">
        <v>553</v>
      </c>
    </row>
    <row r="271" spans="2:5" x14ac:dyDescent="0.25">
      <c r="B271" s="9"/>
      <c r="E271" t="s">
        <v>557</v>
      </c>
    </row>
    <row r="272" spans="2:5" x14ac:dyDescent="0.25">
      <c r="B272" s="9"/>
      <c r="E272" t="s">
        <v>557</v>
      </c>
    </row>
    <row r="273" spans="2:5" x14ac:dyDescent="0.25">
      <c r="B273" s="9"/>
      <c r="E273" t="s">
        <v>557</v>
      </c>
    </row>
    <row r="274" spans="2:5" x14ac:dyDescent="0.25">
      <c r="B274" s="9"/>
      <c r="E274" t="s">
        <v>552</v>
      </c>
    </row>
    <row r="275" spans="2:5" x14ac:dyDescent="0.25">
      <c r="B275" s="9"/>
      <c r="E275" t="s">
        <v>555</v>
      </c>
    </row>
    <row r="276" spans="2:5" x14ac:dyDescent="0.25">
      <c r="B276" s="9"/>
      <c r="E276" t="s">
        <v>553</v>
      </c>
    </row>
    <row r="277" spans="2:5" x14ac:dyDescent="0.25">
      <c r="B277" s="9"/>
      <c r="E277" t="s">
        <v>557</v>
      </c>
    </row>
    <row r="278" spans="2:5" x14ac:dyDescent="0.25">
      <c r="B278" s="9"/>
      <c r="E278" t="s">
        <v>553</v>
      </c>
    </row>
    <row r="279" spans="2:5" x14ac:dyDescent="0.25">
      <c r="B279" s="9"/>
      <c r="E279" t="s">
        <v>553</v>
      </c>
    </row>
    <row r="280" spans="2:5" x14ac:dyDescent="0.25">
      <c r="B280" s="9"/>
      <c r="E280" t="s">
        <v>554</v>
      </c>
    </row>
    <row r="281" spans="2:5" x14ac:dyDescent="0.25">
      <c r="B281" s="9"/>
      <c r="E281" t="s">
        <v>555</v>
      </c>
    </row>
    <row r="282" spans="2:5" x14ac:dyDescent="0.25">
      <c r="B282" s="9"/>
      <c r="E282" t="s">
        <v>553</v>
      </c>
    </row>
    <row r="283" spans="2:5" x14ac:dyDescent="0.25">
      <c r="B283" s="9"/>
      <c r="E283" t="s">
        <v>553</v>
      </c>
    </row>
    <row r="284" spans="2:5" x14ac:dyDescent="0.25">
      <c r="B284" s="9"/>
      <c r="E284" t="s">
        <v>557</v>
      </c>
    </row>
    <row r="285" spans="2:5" x14ac:dyDescent="0.25">
      <c r="B285" s="9"/>
      <c r="E285" t="s">
        <v>554</v>
      </c>
    </row>
    <row r="286" spans="2:5" x14ac:dyDescent="0.25">
      <c r="B286" s="9"/>
      <c r="E286" t="s">
        <v>552</v>
      </c>
    </row>
    <row r="287" spans="2:5" x14ac:dyDescent="0.25">
      <c r="B287" s="9"/>
      <c r="E287" t="s">
        <v>555</v>
      </c>
    </row>
    <row r="288" spans="2:5" x14ac:dyDescent="0.25">
      <c r="B288" s="9"/>
      <c r="E288" t="s">
        <v>556</v>
      </c>
    </row>
    <row r="289" spans="2:5" x14ac:dyDescent="0.25">
      <c r="B289" s="9"/>
      <c r="E289" t="s">
        <v>556</v>
      </c>
    </row>
    <row r="290" spans="2:5" x14ac:dyDescent="0.25">
      <c r="B290" s="9"/>
      <c r="E290" t="s">
        <v>552</v>
      </c>
    </row>
    <row r="291" spans="2:5" x14ac:dyDescent="0.25">
      <c r="B291" s="9"/>
      <c r="E291" t="s">
        <v>554</v>
      </c>
    </row>
    <row r="292" spans="2:5" x14ac:dyDescent="0.25">
      <c r="B292" s="9"/>
      <c r="E292" t="s">
        <v>552</v>
      </c>
    </row>
    <row r="293" spans="2:5" x14ac:dyDescent="0.25">
      <c r="B293" s="9"/>
      <c r="E293" t="s">
        <v>553</v>
      </c>
    </row>
    <row r="294" spans="2:5" x14ac:dyDescent="0.25">
      <c r="B294" s="9"/>
      <c r="E294" t="s">
        <v>555</v>
      </c>
    </row>
    <row r="295" spans="2:5" x14ac:dyDescent="0.25">
      <c r="B295" s="9"/>
      <c r="E295" t="s">
        <v>557</v>
      </c>
    </row>
    <row r="296" spans="2:5" x14ac:dyDescent="0.25">
      <c r="B296" s="9"/>
      <c r="E296" t="s">
        <v>552</v>
      </c>
    </row>
    <row r="297" spans="2:5" x14ac:dyDescent="0.25">
      <c r="B297" s="9"/>
      <c r="E297" t="s">
        <v>554</v>
      </c>
    </row>
    <row r="298" spans="2:5" x14ac:dyDescent="0.25">
      <c r="B298" s="9"/>
      <c r="E298" t="s">
        <v>555</v>
      </c>
    </row>
    <row r="299" spans="2:5" x14ac:dyDescent="0.25">
      <c r="B299" s="9"/>
      <c r="E299" t="s">
        <v>552</v>
      </c>
    </row>
    <row r="300" spans="2:5" x14ac:dyDescent="0.25">
      <c r="B300" s="9"/>
      <c r="E300" t="s">
        <v>552</v>
      </c>
    </row>
    <row r="301" spans="2:5" x14ac:dyDescent="0.25">
      <c r="B301" s="9"/>
      <c r="E301" t="s">
        <v>556</v>
      </c>
    </row>
    <row r="302" spans="2:5" x14ac:dyDescent="0.25">
      <c r="B302" s="9"/>
      <c r="E302" t="s">
        <v>553</v>
      </c>
    </row>
    <row r="303" spans="2:5" x14ac:dyDescent="0.25">
      <c r="B303" s="9"/>
      <c r="E303" t="s">
        <v>556</v>
      </c>
    </row>
    <row r="304" spans="2:5" x14ac:dyDescent="0.25">
      <c r="B304" s="9"/>
      <c r="E304" t="s">
        <v>553</v>
      </c>
    </row>
    <row r="305" spans="2:5" x14ac:dyDescent="0.25">
      <c r="B305" s="9"/>
      <c r="E305" t="s">
        <v>554</v>
      </c>
    </row>
    <row r="306" spans="2:5" x14ac:dyDescent="0.25">
      <c r="B306" s="9"/>
      <c r="E306" t="s">
        <v>553</v>
      </c>
    </row>
    <row r="307" spans="2:5" x14ac:dyDescent="0.25">
      <c r="B307" s="9"/>
      <c r="E307" t="s">
        <v>552</v>
      </c>
    </row>
    <row r="308" spans="2:5" x14ac:dyDescent="0.25">
      <c r="B308" s="9"/>
      <c r="E308" t="s">
        <v>553</v>
      </c>
    </row>
    <row r="309" spans="2:5" x14ac:dyDescent="0.25">
      <c r="B309" s="9"/>
      <c r="E309" t="s">
        <v>554</v>
      </c>
    </row>
    <row r="310" spans="2:5" x14ac:dyDescent="0.25">
      <c r="B310" s="9"/>
      <c r="E310" t="s">
        <v>557</v>
      </c>
    </row>
    <row r="311" spans="2:5" x14ac:dyDescent="0.25">
      <c r="B311" s="9"/>
      <c r="E311" t="s">
        <v>557</v>
      </c>
    </row>
    <row r="312" spans="2:5" x14ac:dyDescent="0.25">
      <c r="B312" s="9"/>
      <c r="E312" t="s">
        <v>556</v>
      </c>
    </row>
    <row r="313" spans="2:5" x14ac:dyDescent="0.25">
      <c r="B313" s="9"/>
      <c r="E313" t="s">
        <v>554</v>
      </c>
    </row>
    <row r="314" spans="2:5" x14ac:dyDescent="0.25">
      <c r="B314" s="9"/>
      <c r="E314" t="s">
        <v>555</v>
      </c>
    </row>
    <row r="315" spans="2:5" x14ac:dyDescent="0.25">
      <c r="B315" s="9"/>
      <c r="E315" t="s">
        <v>552</v>
      </c>
    </row>
    <row r="316" spans="2:5" x14ac:dyDescent="0.25">
      <c r="B316" s="9"/>
      <c r="E316" t="s">
        <v>555</v>
      </c>
    </row>
    <row r="317" spans="2:5" x14ac:dyDescent="0.25">
      <c r="B317" s="9"/>
      <c r="E317" t="s">
        <v>556</v>
      </c>
    </row>
    <row r="318" spans="2:5" x14ac:dyDescent="0.25">
      <c r="B318" s="9"/>
      <c r="E318" t="s">
        <v>555</v>
      </c>
    </row>
    <row r="319" spans="2:5" x14ac:dyDescent="0.25">
      <c r="B319" s="9"/>
      <c r="E319" t="s">
        <v>556</v>
      </c>
    </row>
    <row r="320" spans="2:5" x14ac:dyDescent="0.25">
      <c r="B320" s="9"/>
      <c r="E320" t="s">
        <v>554</v>
      </c>
    </row>
    <row r="321" spans="2:5" x14ac:dyDescent="0.25">
      <c r="B321" s="9"/>
      <c r="E321" t="s">
        <v>555</v>
      </c>
    </row>
    <row r="322" spans="2:5" x14ac:dyDescent="0.25">
      <c r="B322" s="9"/>
      <c r="E322" t="s">
        <v>553</v>
      </c>
    </row>
    <row r="323" spans="2:5" x14ac:dyDescent="0.25">
      <c r="B323" s="9"/>
      <c r="E323" t="s">
        <v>554</v>
      </c>
    </row>
    <row r="324" spans="2:5" x14ac:dyDescent="0.25">
      <c r="B324" s="9"/>
      <c r="E324" t="s">
        <v>553</v>
      </c>
    </row>
    <row r="325" spans="2:5" x14ac:dyDescent="0.25">
      <c r="B325" s="9"/>
      <c r="E325" t="s">
        <v>554</v>
      </c>
    </row>
    <row r="326" spans="2:5" x14ac:dyDescent="0.25">
      <c r="B326" s="9"/>
      <c r="E326" t="s">
        <v>555</v>
      </c>
    </row>
    <row r="327" spans="2:5" x14ac:dyDescent="0.25">
      <c r="B327" s="9"/>
      <c r="E327" t="s">
        <v>552</v>
      </c>
    </row>
    <row r="328" spans="2:5" x14ac:dyDescent="0.25">
      <c r="B328" s="9"/>
      <c r="E328" t="s">
        <v>556</v>
      </c>
    </row>
    <row r="329" spans="2:5" x14ac:dyDescent="0.25">
      <c r="B329" s="9"/>
      <c r="E329" t="s">
        <v>555</v>
      </c>
    </row>
    <row r="330" spans="2:5" x14ac:dyDescent="0.25">
      <c r="B330" s="9"/>
      <c r="E330" t="s">
        <v>554</v>
      </c>
    </row>
    <row r="331" spans="2:5" x14ac:dyDescent="0.25">
      <c r="B331" s="9"/>
      <c r="E331" t="s">
        <v>554</v>
      </c>
    </row>
    <row r="332" spans="2:5" x14ac:dyDescent="0.25">
      <c r="B332" s="9"/>
      <c r="E332" t="s">
        <v>554</v>
      </c>
    </row>
    <row r="333" spans="2:5" x14ac:dyDescent="0.25">
      <c r="B333" s="9"/>
      <c r="E333" t="s">
        <v>555</v>
      </c>
    </row>
    <row r="334" spans="2:5" x14ac:dyDescent="0.25">
      <c r="B334" s="9"/>
      <c r="E334" t="s">
        <v>556</v>
      </c>
    </row>
    <row r="335" spans="2:5" x14ac:dyDescent="0.25">
      <c r="B335" s="9"/>
      <c r="E335" t="s">
        <v>555</v>
      </c>
    </row>
    <row r="336" spans="2:5" x14ac:dyDescent="0.25">
      <c r="B336" s="9"/>
      <c r="E336" t="s">
        <v>553</v>
      </c>
    </row>
    <row r="337" spans="2:5" x14ac:dyDescent="0.25">
      <c r="B337" s="9"/>
      <c r="E337" t="s">
        <v>553</v>
      </c>
    </row>
    <row r="338" spans="2:5" x14ac:dyDescent="0.25">
      <c r="B338" s="9"/>
      <c r="E338" t="s">
        <v>553</v>
      </c>
    </row>
    <row r="339" spans="2:5" x14ac:dyDescent="0.25">
      <c r="B339" s="9"/>
      <c r="E339" t="s">
        <v>556</v>
      </c>
    </row>
    <row r="340" spans="2:5" x14ac:dyDescent="0.25">
      <c r="B340" s="9"/>
      <c r="E340" t="s">
        <v>553</v>
      </c>
    </row>
    <row r="341" spans="2:5" x14ac:dyDescent="0.25">
      <c r="B341" s="9"/>
      <c r="E341" t="s">
        <v>557</v>
      </c>
    </row>
    <row r="342" spans="2:5" x14ac:dyDescent="0.25">
      <c r="B342" s="9"/>
      <c r="E342" t="s">
        <v>554</v>
      </c>
    </row>
    <row r="343" spans="2:5" x14ac:dyDescent="0.25">
      <c r="B343" s="9"/>
      <c r="E343" t="s">
        <v>555</v>
      </c>
    </row>
    <row r="344" spans="2:5" x14ac:dyDescent="0.25">
      <c r="B344" s="9"/>
      <c r="E344" t="s">
        <v>553</v>
      </c>
    </row>
    <row r="345" spans="2:5" x14ac:dyDescent="0.25">
      <c r="B345" s="9"/>
      <c r="E345" t="s">
        <v>557</v>
      </c>
    </row>
    <row r="346" spans="2:5" x14ac:dyDescent="0.25">
      <c r="B346" s="9"/>
      <c r="E346" t="s">
        <v>557</v>
      </c>
    </row>
    <row r="347" spans="2:5" x14ac:dyDescent="0.25">
      <c r="B347" s="9"/>
      <c r="E347" t="s">
        <v>554</v>
      </c>
    </row>
    <row r="348" spans="2:5" x14ac:dyDescent="0.25">
      <c r="B348" s="9"/>
      <c r="E348" t="s">
        <v>555</v>
      </c>
    </row>
    <row r="349" spans="2:5" x14ac:dyDescent="0.25">
      <c r="B349" s="9"/>
      <c r="E349" t="s">
        <v>552</v>
      </c>
    </row>
    <row r="350" spans="2:5" x14ac:dyDescent="0.25">
      <c r="B350" s="9"/>
      <c r="E350" t="s">
        <v>553</v>
      </c>
    </row>
    <row r="351" spans="2:5" x14ac:dyDescent="0.25">
      <c r="B351" s="9"/>
      <c r="E351" t="s">
        <v>557</v>
      </c>
    </row>
    <row r="352" spans="2:5" x14ac:dyDescent="0.25">
      <c r="B352" s="9"/>
      <c r="E352" t="s">
        <v>557</v>
      </c>
    </row>
    <row r="353" spans="2:5" x14ac:dyDescent="0.25">
      <c r="B353" s="9"/>
      <c r="E353" t="s">
        <v>553</v>
      </c>
    </row>
    <row r="354" spans="2:5" x14ac:dyDescent="0.25">
      <c r="B354" s="9"/>
      <c r="E354" t="s">
        <v>556</v>
      </c>
    </row>
    <row r="355" spans="2:5" x14ac:dyDescent="0.25">
      <c r="B355" s="9"/>
      <c r="E355" t="s">
        <v>556</v>
      </c>
    </row>
    <row r="356" spans="2:5" x14ac:dyDescent="0.25">
      <c r="B356" s="9"/>
      <c r="E356" t="s">
        <v>555</v>
      </c>
    </row>
    <row r="357" spans="2:5" x14ac:dyDescent="0.25">
      <c r="B357" s="9"/>
      <c r="E357" t="s">
        <v>555</v>
      </c>
    </row>
    <row r="358" spans="2:5" x14ac:dyDescent="0.25">
      <c r="B358" s="9"/>
      <c r="E358" t="s">
        <v>556</v>
      </c>
    </row>
    <row r="359" spans="2:5" x14ac:dyDescent="0.25">
      <c r="B359" s="9"/>
      <c r="E359" t="s">
        <v>557</v>
      </c>
    </row>
    <row r="360" spans="2:5" x14ac:dyDescent="0.25">
      <c r="B360" s="9"/>
      <c r="E360" t="s">
        <v>555</v>
      </c>
    </row>
    <row r="361" spans="2:5" x14ac:dyDescent="0.25">
      <c r="B361" s="9"/>
      <c r="E361" t="s">
        <v>553</v>
      </c>
    </row>
    <row r="362" spans="2:5" x14ac:dyDescent="0.25">
      <c r="B362" s="9"/>
      <c r="E362" t="s">
        <v>554</v>
      </c>
    </row>
    <row r="363" spans="2:5" x14ac:dyDescent="0.25">
      <c r="B363" s="9"/>
      <c r="E363" t="s">
        <v>553</v>
      </c>
    </row>
    <row r="364" spans="2:5" x14ac:dyDescent="0.25">
      <c r="B364" s="9"/>
      <c r="E364" t="s">
        <v>553</v>
      </c>
    </row>
    <row r="365" spans="2:5" x14ac:dyDescent="0.25">
      <c r="B365" s="9"/>
      <c r="E365" t="s">
        <v>556</v>
      </c>
    </row>
    <row r="366" spans="2:5" x14ac:dyDescent="0.25">
      <c r="B366" s="9"/>
      <c r="E366" t="s">
        <v>552</v>
      </c>
    </row>
    <row r="367" spans="2:5" x14ac:dyDescent="0.25">
      <c r="B367" s="9"/>
      <c r="E367" t="s">
        <v>553</v>
      </c>
    </row>
    <row r="368" spans="2:5" x14ac:dyDescent="0.25">
      <c r="B368" s="9"/>
      <c r="E368" t="s">
        <v>552</v>
      </c>
    </row>
    <row r="369" spans="2:5" x14ac:dyDescent="0.25">
      <c r="B369" s="9"/>
      <c r="E369" t="s">
        <v>557</v>
      </c>
    </row>
    <row r="370" spans="2:5" x14ac:dyDescent="0.25">
      <c r="B370" s="9"/>
      <c r="E370" t="s">
        <v>553</v>
      </c>
    </row>
    <row r="371" spans="2:5" x14ac:dyDescent="0.25">
      <c r="B371" s="9"/>
      <c r="E371" t="s">
        <v>557</v>
      </c>
    </row>
    <row r="372" spans="2:5" x14ac:dyDescent="0.25">
      <c r="B372" s="9"/>
      <c r="E372" t="s">
        <v>552</v>
      </c>
    </row>
    <row r="373" spans="2:5" x14ac:dyDescent="0.25">
      <c r="B373" s="9"/>
      <c r="E373" t="s">
        <v>552</v>
      </c>
    </row>
    <row r="374" spans="2:5" x14ac:dyDescent="0.25">
      <c r="B374" s="9"/>
      <c r="E374" t="s">
        <v>557</v>
      </c>
    </row>
    <row r="375" spans="2:5" x14ac:dyDescent="0.25">
      <c r="B375" s="9"/>
      <c r="E375" t="s">
        <v>554</v>
      </c>
    </row>
    <row r="376" spans="2:5" x14ac:dyDescent="0.25">
      <c r="B376" s="9"/>
      <c r="E376" t="s">
        <v>553</v>
      </c>
    </row>
    <row r="377" spans="2:5" x14ac:dyDescent="0.25">
      <c r="B377" s="9"/>
      <c r="E377" t="s">
        <v>556</v>
      </c>
    </row>
    <row r="378" spans="2:5" x14ac:dyDescent="0.25">
      <c r="B378" s="9"/>
      <c r="E378" t="s">
        <v>555</v>
      </c>
    </row>
    <row r="379" spans="2:5" x14ac:dyDescent="0.25">
      <c r="B379" s="9"/>
      <c r="E379" t="s">
        <v>552</v>
      </c>
    </row>
    <row r="380" spans="2:5" x14ac:dyDescent="0.25">
      <c r="B380" s="9"/>
      <c r="E380" t="s">
        <v>554</v>
      </c>
    </row>
    <row r="381" spans="2:5" x14ac:dyDescent="0.25">
      <c r="B381" s="9"/>
      <c r="E381" t="s">
        <v>555</v>
      </c>
    </row>
    <row r="382" spans="2:5" x14ac:dyDescent="0.25">
      <c r="B382" s="9"/>
      <c r="E382" t="s">
        <v>557</v>
      </c>
    </row>
    <row r="383" spans="2:5" x14ac:dyDescent="0.25">
      <c r="B383" s="9"/>
      <c r="E383" t="s">
        <v>557</v>
      </c>
    </row>
    <row r="384" spans="2:5" x14ac:dyDescent="0.25">
      <c r="B384" s="9"/>
      <c r="E384" t="s">
        <v>554</v>
      </c>
    </row>
    <row r="385" spans="2:5" x14ac:dyDescent="0.25">
      <c r="B385" s="9"/>
      <c r="E385" t="s">
        <v>557</v>
      </c>
    </row>
    <row r="386" spans="2:5" x14ac:dyDescent="0.25">
      <c r="B386" s="9"/>
      <c r="E386" t="s">
        <v>553</v>
      </c>
    </row>
    <row r="387" spans="2:5" x14ac:dyDescent="0.25">
      <c r="B387" s="9"/>
      <c r="E387" t="s">
        <v>557</v>
      </c>
    </row>
    <row r="388" spans="2:5" x14ac:dyDescent="0.25">
      <c r="B388" s="9"/>
      <c r="E388" t="s">
        <v>553</v>
      </c>
    </row>
    <row r="389" spans="2:5" x14ac:dyDescent="0.25">
      <c r="B389" s="9"/>
      <c r="E389" t="s">
        <v>557</v>
      </c>
    </row>
    <row r="390" spans="2:5" x14ac:dyDescent="0.25">
      <c r="B390" s="9"/>
      <c r="E390" t="s">
        <v>557</v>
      </c>
    </row>
    <row r="391" spans="2:5" x14ac:dyDescent="0.25">
      <c r="B391" s="9"/>
      <c r="E391" t="s">
        <v>556</v>
      </c>
    </row>
    <row r="392" spans="2:5" x14ac:dyDescent="0.25">
      <c r="B392" s="9"/>
      <c r="E392" t="s">
        <v>554</v>
      </c>
    </row>
    <row r="393" spans="2:5" x14ac:dyDescent="0.25">
      <c r="B393" s="9"/>
      <c r="E393" t="s">
        <v>553</v>
      </c>
    </row>
    <row r="394" spans="2:5" x14ac:dyDescent="0.25">
      <c r="B394" s="9"/>
      <c r="E394" t="s">
        <v>557</v>
      </c>
    </row>
    <row r="395" spans="2:5" x14ac:dyDescent="0.25">
      <c r="B395" s="9"/>
      <c r="E395" t="s">
        <v>556</v>
      </c>
    </row>
    <row r="396" spans="2:5" x14ac:dyDescent="0.25">
      <c r="B396" s="9"/>
      <c r="E396" t="s">
        <v>553</v>
      </c>
    </row>
    <row r="397" spans="2:5" x14ac:dyDescent="0.25">
      <c r="B397" s="9"/>
      <c r="E397" t="s">
        <v>553</v>
      </c>
    </row>
    <row r="398" spans="2:5" x14ac:dyDescent="0.25">
      <c r="B398" s="9"/>
      <c r="E398" t="s">
        <v>553</v>
      </c>
    </row>
    <row r="399" spans="2:5" x14ac:dyDescent="0.25">
      <c r="B399" s="9"/>
      <c r="E399" t="s">
        <v>554</v>
      </c>
    </row>
    <row r="400" spans="2:5" x14ac:dyDescent="0.25">
      <c r="B400" s="9"/>
      <c r="E400" t="s">
        <v>557</v>
      </c>
    </row>
    <row r="401" spans="2:5" x14ac:dyDescent="0.25">
      <c r="B401" s="9"/>
      <c r="E401" t="s">
        <v>555</v>
      </c>
    </row>
    <row r="402" spans="2:5" x14ac:dyDescent="0.25">
      <c r="B402" s="9"/>
      <c r="E402" t="s">
        <v>556</v>
      </c>
    </row>
    <row r="403" spans="2:5" x14ac:dyDescent="0.25">
      <c r="B403" s="9"/>
      <c r="E403" t="s">
        <v>557</v>
      </c>
    </row>
    <row r="404" spans="2:5" x14ac:dyDescent="0.25">
      <c r="B404" s="9"/>
      <c r="E404" t="s">
        <v>556</v>
      </c>
    </row>
    <row r="405" spans="2:5" x14ac:dyDescent="0.25">
      <c r="B405" s="9"/>
      <c r="E405" t="s">
        <v>552</v>
      </c>
    </row>
    <row r="406" spans="2:5" x14ac:dyDescent="0.25">
      <c r="B406" s="9"/>
      <c r="E406" t="s">
        <v>555</v>
      </c>
    </row>
    <row r="407" spans="2:5" x14ac:dyDescent="0.25">
      <c r="B407" s="9"/>
      <c r="E407" t="s">
        <v>557</v>
      </c>
    </row>
    <row r="408" spans="2:5" x14ac:dyDescent="0.25">
      <c r="B408" s="9"/>
      <c r="E408" t="s">
        <v>557</v>
      </c>
    </row>
    <row r="409" spans="2:5" x14ac:dyDescent="0.25">
      <c r="B409" s="9"/>
      <c r="E409" t="s">
        <v>557</v>
      </c>
    </row>
    <row r="410" spans="2:5" x14ac:dyDescent="0.25">
      <c r="B410" s="9"/>
      <c r="E410" t="s">
        <v>554</v>
      </c>
    </row>
    <row r="411" spans="2:5" x14ac:dyDescent="0.25">
      <c r="B411" s="9"/>
      <c r="E411" t="s">
        <v>556</v>
      </c>
    </row>
    <row r="412" spans="2:5" x14ac:dyDescent="0.25">
      <c r="B412" s="9"/>
      <c r="E412" t="s">
        <v>557</v>
      </c>
    </row>
    <row r="413" spans="2:5" x14ac:dyDescent="0.25">
      <c r="B413" s="9"/>
      <c r="E413" t="s">
        <v>556</v>
      </c>
    </row>
    <row r="414" spans="2:5" x14ac:dyDescent="0.25">
      <c r="B414" s="9"/>
      <c r="E414" t="s">
        <v>553</v>
      </c>
    </row>
    <row r="415" spans="2:5" x14ac:dyDescent="0.25">
      <c r="B415" s="9"/>
      <c r="E415" t="s">
        <v>553</v>
      </c>
    </row>
    <row r="416" spans="2:5" x14ac:dyDescent="0.25">
      <c r="B416" s="9"/>
      <c r="E416" t="s">
        <v>552</v>
      </c>
    </row>
    <row r="417" spans="2:5" x14ac:dyDescent="0.25">
      <c r="B417" s="9"/>
      <c r="E417" t="s">
        <v>556</v>
      </c>
    </row>
    <row r="418" spans="2:5" x14ac:dyDescent="0.25">
      <c r="B418" s="9"/>
      <c r="E418" t="s">
        <v>556</v>
      </c>
    </row>
    <row r="419" spans="2:5" x14ac:dyDescent="0.25">
      <c r="B419" s="9"/>
      <c r="E419" t="s">
        <v>557</v>
      </c>
    </row>
    <row r="420" spans="2:5" x14ac:dyDescent="0.25">
      <c r="B420" s="9"/>
      <c r="E420" t="s">
        <v>554</v>
      </c>
    </row>
    <row r="421" spans="2:5" x14ac:dyDescent="0.25">
      <c r="B421" s="9"/>
      <c r="E421" t="s">
        <v>557</v>
      </c>
    </row>
    <row r="422" spans="2:5" x14ac:dyDescent="0.25">
      <c r="B422" s="9"/>
      <c r="E422" t="s">
        <v>556</v>
      </c>
    </row>
    <row r="423" spans="2:5" x14ac:dyDescent="0.25">
      <c r="B423" s="9"/>
      <c r="E423" t="s">
        <v>556</v>
      </c>
    </row>
    <row r="424" spans="2:5" x14ac:dyDescent="0.25">
      <c r="B424" s="9"/>
      <c r="E424" t="s">
        <v>554</v>
      </c>
    </row>
    <row r="425" spans="2:5" x14ac:dyDescent="0.25">
      <c r="B425" s="9"/>
      <c r="E425" t="s">
        <v>552</v>
      </c>
    </row>
    <row r="426" spans="2:5" x14ac:dyDescent="0.25">
      <c r="B426" s="9"/>
      <c r="E426" t="s">
        <v>557</v>
      </c>
    </row>
    <row r="427" spans="2:5" x14ac:dyDescent="0.25">
      <c r="B427" s="9"/>
      <c r="E427" t="s">
        <v>557</v>
      </c>
    </row>
    <row r="428" spans="2:5" x14ac:dyDescent="0.25">
      <c r="B428" s="9"/>
      <c r="E428" t="s">
        <v>557</v>
      </c>
    </row>
    <row r="429" spans="2:5" x14ac:dyDescent="0.25">
      <c r="B429" s="9"/>
      <c r="E429" t="s">
        <v>557</v>
      </c>
    </row>
    <row r="430" spans="2:5" x14ac:dyDescent="0.25">
      <c r="B430" s="9"/>
      <c r="E430" t="s">
        <v>553</v>
      </c>
    </row>
    <row r="431" spans="2:5" x14ac:dyDescent="0.25">
      <c r="B431" s="9"/>
      <c r="E431" t="s">
        <v>555</v>
      </c>
    </row>
    <row r="432" spans="2:5" x14ac:dyDescent="0.25">
      <c r="B432" s="9"/>
      <c r="E432" t="s">
        <v>552</v>
      </c>
    </row>
    <row r="433" spans="2:5" x14ac:dyDescent="0.25">
      <c r="B433" s="9"/>
      <c r="E433" t="s">
        <v>554</v>
      </c>
    </row>
    <row r="434" spans="2:5" x14ac:dyDescent="0.25">
      <c r="B434" s="9"/>
      <c r="E434" t="s">
        <v>557</v>
      </c>
    </row>
    <row r="435" spans="2:5" x14ac:dyDescent="0.25">
      <c r="B435" s="9"/>
      <c r="E435" t="s">
        <v>557</v>
      </c>
    </row>
    <row r="436" spans="2:5" x14ac:dyDescent="0.25">
      <c r="B436" s="9"/>
      <c r="E436" t="s">
        <v>554</v>
      </c>
    </row>
    <row r="437" spans="2:5" x14ac:dyDescent="0.25">
      <c r="B437" s="9"/>
      <c r="E437" t="s">
        <v>557</v>
      </c>
    </row>
    <row r="438" spans="2:5" x14ac:dyDescent="0.25">
      <c r="B438" s="9"/>
      <c r="E438" t="s">
        <v>553</v>
      </c>
    </row>
    <row r="439" spans="2:5" x14ac:dyDescent="0.25">
      <c r="B439" s="9"/>
      <c r="E439" t="s">
        <v>555</v>
      </c>
    </row>
    <row r="440" spans="2:5" x14ac:dyDescent="0.25">
      <c r="B440" s="9"/>
      <c r="E440" t="s">
        <v>557</v>
      </c>
    </row>
    <row r="441" spans="2:5" x14ac:dyDescent="0.25">
      <c r="B441" s="9"/>
      <c r="E441" t="s">
        <v>552</v>
      </c>
    </row>
    <row r="442" spans="2:5" x14ac:dyDescent="0.25">
      <c r="B442" s="9"/>
      <c r="E442" t="s">
        <v>557</v>
      </c>
    </row>
    <row r="443" spans="2:5" x14ac:dyDescent="0.25">
      <c r="B443" s="9"/>
      <c r="E443" t="s">
        <v>553</v>
      </c>
    </row>
    <row r="444" spans="2:5" x14ac:dyDescent="0.25">
      <c r="B444" s="9"/>
      <c r="E444" t="s">
        <v>554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V442"/>
  <sheetViews>
    <sheetView zoomScaleNormal="100" workbookViewId="0">
      <selection activeCell="F21" sqref="F21"/>
    </sheetView>
  </sheetViews>
  <sheetFormatPr defaultColWidth="8.7109375" defaultRowHeight="15" x14ac:dyDescent="0.25"/>
  <cols>
    <col min="1" max="1" width="15.85546875" bestFit="1" customWidth="1"/>
    <col min="2" max="2" width="12.140625" bestFit="1" customWidth="1"/>
    <col min="3" max="3" width="7.28515625" bestFit="1" customWidth="1"/>
    <col min="4" max="4" width="10.85546875" bestFit="1" customWidth="1"/>
    <col min="5" max="5" width="14.5703125" bestFit="1" customWidth="1"/>
    <col min="6" max="6" width="18.28515625" bestFit="1" customWidth="1"/>
    <col min="7" max="7" width="11.28515625" bestFit="1" customWidth="1"/>
    <col min="8" max="8" width="14.85546875" bestFit="1" customWidth="1"/>
    <col min="9" max="9" width="18.85546875" bestFit="1" customWidth="1"/>
    <col min="10" max="10" width="20" bestFit="1" customWidth="1"/>
    <col min="11" max="11" width="14.28515625" bestFit="1" customWidth="1"/>
    <col min="12" max="12" width="14.5703125" bestFit="1" customWidth="1"/>
    <col min="13" max="13" width="13.7109375" bestFit="1" customWidth="1"/>
    <col min="14" max="14" width="15.7109375" bestFit="1" customWidth="1"/>
    <col min="15" max="16" width="10.85546875" bestFit="1" customWidth="1"/>
    <col min="17" max="17" width="11.7109375" bestFit="1" customWidth="1"/>
    <col min="18" max="18" width="16.5703125" bestFit="1" customWidth="1"/>
    <col min="19" max="19" width="30.42578125" bestFit="1" customWidth="1"/>
    <col min="20" max="20" width="9.28515625" bestFit="1" customWidth="1"/>
    <col min="23" max="23" width="10.140625"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21</v>
      </c>
      <c r="V1" s="1" t="s">
        <v>20</v>
      </c>
    </row>
    <row r="2" spans="1:22" x14ac:dyDescent="0.25">
      <c r="A2" t="s">
        <v>22</v>
      </c>
      <c r="B2" s="2">
        <v>46024</v>
      </c>
      <c r="C2">
        <v>2026</v>
      </c>
      <c r="D2" t="s">
        <v>23</v>
      </c>
      <c r="E2" t="s">
        <v>552</v>
      </c>
      <c r="F2" t="s">
        <v>24</v>
      </c>
      <c r="G2" t="s">
        <v>25</v>
      </c>
      <c r="H2" t="s">
        <v>26</v>
      </c>
      <c r="I2" t="s">
        <v>27</v>
      </c>
      <c r="J2" t="s">
        <v>28</v>
      </c>
      <c r="K2" t="s">
        <v>26</v>
      </c>
      <c r="L2" s="3">
        <v>936400</v>
      </c>
      <c r="M2" s="3">
        <v>931900</v>
      </c>
      <c r="N2" t="s">
        <v>29</v>
      </c>
      <c r="O2" t="s">
        <v>30</v>
      </c>
      <c r="P2" t="s">
        <v>31</v>
      </c>
      <c r="Q2" t="s">
        <v>32</v>
      </c>
      <c r="R2" t="s">
        <v>33</v>
      </c>
      <c r="S2" s="3">
        <v>-936400</v>
      </c>
      <c r="T2" t="str">
        <f>TEXT(tblTransactions[[#This Row],[Date]],"mmm")</f>
        <v>Jan</v>
      </c>
      <c r="U2">
        <f>MONTH(tblTransactions[[#This Row],[Date]])</f>
        <v>1</v>
      </c>
      <c r="V2" t="str">
        <f>"Q"&amp;ROUNDUP(MONTH(tblTransactions[[#This Row],[Date]])/3,0)</f>
        <v>Q1</v>
      </c>
    </row>
    <row r="3" spans="1:22" x14ac:dyDescent="0.25">
      <c r="A3" t="s">
        <v>34</v>
      </c>
      <c r="B3" s="2">
        <v>46025</v>
      </c>
      <c r="C3">
        <v>2026</v>
      </c>
      <c r="D3" t="s">
        <v>23</v>
      </c>
      <c r="E3" t="s">
        <v>553</v>
      </c>
      <c r="F3" t="s">
        <v>35</v>
      </c>
      <c r="G3" t="s">
        <v>36</v>
      </c>
      <c r="H3" t="s">
        <v>36</v>
      </c>
      <c r="I3" t="s">
        <v>37</v>
      </c>
      <c r="J3" t="s">
        <v>38</v>
      </c>
      <c r="K3" t="s">
        <v>36</v>
      </c>
      <c r="L3" s="3">
        <v>4540400</v>
      </c>
      <c r="M3" s="3">
        <v>0</v>
      </c>
      <c r="N3" t="s">
        <v>39</v>
      </c>
      <c r="O3" t="s">
        <v>40</v>
      </c>
      <c r="P3" t="s">
        <v>31</v>
      </c>
      <c r="Q3" t="s">
        <v>33</v>
      </c>
      <c r="R3" t="s">
        <v>32</v>
      </c>
      <c r="S3" s="3">
        <v>3604000</v>
      </c>
      <c r="T3" t="str">
        <f>TEXT(tblTransactions[[#This Row],[Date]],"mmm")</f>
        <v>Jan</v>
      </c>
      <c r="U3">
        <f>MONTH(tblTransactions[[#This Row],[Date]])</f>
        <v>1</v>
      </c>
      <c r="V3" t="str">
        <f>"Q"&amp;ROUNDUP(MONTH(tblTransactions[[#This Row],[Date]])/3,0)</f>
        <v>Q1</v>
      </c>
    </row>
    <row r="4" spans="1:22" x14ac:dyDescent="0.25">
      <c r="A4" t="s">
        <v>41</v>
      </c>
      <c r="B4" s="2">
        <v>46026</v>
      </c>
      <c r="C4">
        <v>2026</v>
      </c>
      <c r="D4" t="s">
        <v>42</v>
      </c>
      <c r="E4" t="s">
        <v>554</v>
      </c>
      <c r="F4" t="s">
        <v>24</v>
      </c>
      <c r="G4" t="s">
        <v>43</v>
      </c>
      <c r="H4" t="s">
        <v>44</v>
      </c>
      <c r="I4" t="s">
        <v>45</v>
      </c>
      <c r="J4" t="s">
        <v>46</v>
      </c>
      <c r="K4" t="s">
        <v>44</v>
      </c>
      <c r="L4" s="3">
        <v>326800</v>
      </c>
      <c r="M4" s="3">
        <v>209900</v>
      </c>
      <c r="N4" t="s">
        <v>29</v>
      </c>
      <c r="O4" t="s">
        <v>47</v>
      </c>
      <c r="P4" t="s">
        <v>31</v>
      </c>
      <c r="Q4" t="s">
        <v>32</v>
      </c>
      <c r="R4" t="s">
        <v>33</v>
      </c>
      <c r="S4" s="3">
        <v>3277200</v>
      </c>
      <c r="T4" t="str">
        <f>TEXT(tblTransactions[[#This Row],[Date]],"mmm")</f>
        <v>Jan</v>
      </c>
      <c r="U4">
        <f>MONTH(tblTransactions[[#This Row],[Date]])</f>
        <v>1</v>
      </c>
      <c r="V4" t="str">
        <f>"Q"&amp;ROUNDUP(MONTH(tblTransactions[[#This Row],[Date]])/3,0)</f>
        <v>Q1</v>
      </c>
    </row>
    <row r="5" spans="1:22" x14ac:dyDescent="0.25">
      <c r="A5" t="s">
        <v>48</v>
      </c>
      <c r="B5" s="2">
        <v>46028</v>
      </c>
      <c r="C5">
        <v>2026</v>
      </c>
      <c r="D5" t="s">
        <v>23</v>
      </c>
      <c r="E5" t="s">
        <v>555</v>
      </c>
      <c r="F5" t="s">
        <v>35</v>
      </c>
      <c r="G5" t="s">
        <v>49</v>
      </c>
      <c r="H5" t="s">
        <v>49</v>
      </c>
      <c r="I5" t="s">
        <v>50</v>
      </c>
      <c r="J5" t="s">
        <v>38</v>
      </c>
      <c r="K5" t="s">
        <v>49</v>
      </c>
      <c r="L5" s="3">
        <v>2010600</v>
      </c>
      <c r="M5" s="3">
        <v>0</v>
      </c>
      <c r="N5" t="s">
        <v>51</v>
      </c>
      <c r="O5" t="s">
        <v>52</v>
      </c>
      <c r="P5" t="s">
        <v>31</v>
      </c>
      <c r="Q5" t="s">
        <v>33</v>
      </c>
      <c r="R5" t="s">
        <v>33</v>
      </c>
      <c r="S5" s="3">
        <v>5287800</v>
      </c>
      <c r="T5" t="str">
        <f>TEXT(tblTransactions[[#This Row],[Date]],"mmm")</f>
        <v>Jan</v>
      </c>
      <c r="U5">
        <f>MONTH(tblTransactions[[#This Row],[Date]])</f>
        <v>1</v>
      </c>
      <c r="V5" t="str">
        <f>"Q"&amp;ROUNDUP(MONTH(tblTransactions[[#This Row],[Date]])/3,0)</f>
        <v>Q1</v>
      </c>
    </row>
    <row r="6" spans="1:22" x14ac:dyDescent="0.25">
      <c r="A6" t="s">
        <v>53</v>
      </c>
      <c r="B6" s="2">
        <v>46029</v>
      </c>
      <c r="C6">
        <v>2026</v>
      </c>
      <c r="D6" t="s">
        <v>42</v>
      </c>
      <c r="E6" t="s">
        <v>556</v>
      </c>
      <c r="F6" t="s">
        <v>24</v>
      </c>
      <c r="G6" t="s">
        <v>54</v>
      </c>
      <c r="H6" t="s">
        <v>55</v>
      </c>
      <c r="I6" t="s">
        <v>56</v>
      </c>
      <c r="J6" t="s">
        <v>57</v>
      </c>
      <c r="K6" t="s">
        <v>55</v>
      </c>
      <c r="L6" s="3">
        <v>511000</v>
      </c>
      <c r="M6" s="3">
        <v>1799300</v>
      </c>
      <c r="N6" t="s">
        <v>58</v>
      </c>
      <c r="O6" t="s">
        <v>52</v>
      </c>
      <c r="P6" t="s">
        <v>31</v>
      </c>
      <c r="Q6" t="s">
        <v>33</v>
      </c>
      <c r="R6" t="s">
        <v>33</v>
      </c>
      <c r="S6" s="3">
        <v>4776800</v>
      </c>
      <c r="T6" t="str">
        <f>TEXT(tblTransactions[[#This Row],[Date]],"mmm")</f>
        <v>Jan</v>
      </c>
      <c r="U6">
        <f>MONTH(tblTransactions[[#This Row],[Date]])</f>
        <v>1</v>
      </c>
      <c r="V6" t="str">
        <f>"Q"&amp;ROUNDUP(MONTH(tblTransactions[[#This Row],[Date]])/3,0)</f>
        <v>Q1</v>
      </c>
    </row>
    <row r="7" spans="1:22" x14ac:dyDescent="0.25">
      <c r="A7" t="s">
        <v>59</v>
      </c>
      <c r="B7" s="2">
        <v>46030</v>
      </c>
      <c r="C7">
        <v>2026</v>
      </c>
      <c r="D7" t="s">
        <v>23</v>
      </c>
      <c r="E7" t="s">
        <v>556</v>
      </c>
      <c r="F7" t="s">
        <v>35</v>
      </c>
      <c r="G7" t="s">
        <v>49</v>
      </c>
      <c r="H7" t="s">
        <v>49</v>
      </c>
      <c r="I7" t="s">
        <v>37</v>
      </c>
      <c r="J7" t="s">
        <v>28</v>
      </c>
      <c r="K7" t="s">
        <v>49</v>
      </c>
      <c r="L7" s="3">
        <v>285200</v>
      </c>
      <c r="M7" s="3">
        <v>0</v>
      </c>
      <c r="N7" t="s">
        <v>29</v>
      </c>
      <c r="O7" t="s">
        <v>60</v>
      </c>
      <c r="P7" t="s">
        <v>31</v>
      </c>
      <c r="Q7" t="s">
        <v>32</v>
      </c>
      <c r="R7" t="s">
        <v>32</v>
      </c>
      <c r="S7" s="3">
        <v>5062000</v>
      </c>
      <c r="T7" t="str">
        <f>TEXT(tblTransactions[[#This Row],[Date]],"mmm")</f>
        <v>Jan</v>
      </c>
      <c r="U7">
        <f>MONTH(tblTransactions[[#This Row],[Date]])</f>
        <v>1</v>
      </c>
      <c r="V7" t="str">
        <f>"Q"&amp;ROUNDUP(MONTH(tblTransactions[[#This Row],[Date]])/3,0)</f>
        <v>Q1</v>
      </c>
    </row>
    <row r="8" spans="1:22" x14ac:dyDescent="0.25">
      <c r="A8" t="s">
        <v>61</v>
      </c>
      <c r="B8" s="2">
        <v>46031</v>
      </c>
      <c r="C8">
        <v>2026</v>
      </c>
      <c r="D8" t="s">
        <v>42</v>
      </c>
      <c r="E8" t="s">
        <v>557</v>
      </c>
      <c r="F8" t="s">
        <v>24</v>
      </c>
      <c r="G8" t="s">
        <v>62</v>
      </c>
      <c r="H8" t="s">
        <v>63</v>
      </c>
      <c r="I8" t="s">
        <v>56</v>
      </c>
      <c r="J8" t="s">
        <v>64</v>
      </c>
      <c r="K8" t="s">
        <v>63</v>
      </c>
      <c r="L8" s="3">
        <v>1463600</v>
      </c>
      <c r="M8" s="3">
        <v>1355000</v>
      </c>
      <c r="N8" t="s">
        <v>29</v>
      </c>
      <c r="O8" t="s">
        <v>30</v>
      </c>
      <c r="P8" t="s">
        <v>31</v>
      </c>
      <c r="Q8" t="s">
        <v>32</v>
      </c>
      <c r="R8" t="s">
        <v>33</v>
      </c>
      <c r="S8" s="3">
        <v>3598400</v>
      </c>
      <c r="T8" t="str">
        <f>TEXT(tblTransactions[[#This Row],[Date]],"mmm")</f>
        <v>Jan</v>
      </c>
      <c r="U8">
        <f>MONTH(tblTransactions[[#This Row],[Date]])</f>
        <v>1</v>
      </c>
      <c r="V8" t="str">
        <f>"Q"&amp;ROUNDUP(MONTH(tblTransactions[[#This Row],[Date]])/3,0)</f>
        <v>Q1</v>
      </c>
    </row>
    <row r="9" spans="1:22" x14ac:dyDescent="0.25">
      <c r="A9" t="s">
        <v>65</v>
      </c>
      <c r="B9" s="2">
        <v>46033</v>
      </c>
      <c r="C9">
        <v>2026</v>
      </c>
      <c r="D9" t="s">
        <v>23</v>
      </c>
      <c r="E9" t="s">
        <v>556</v>
      </c>
      <c r="F9" t="s">
        <v>24</v>
      </c>
      <c r="G9" t="s">
        <v>54</v>
      </c>
      <c r="H9" t="s">
        <v>55</v>
      </c>
      <c r="I9" t="s">
        <v>56</v>
      </c>
      <c r="J9" t="s">
        <v>38</v>
      </c>
      <c r="K9" t="s">
        <v>55</v>
      </c>
      <c r="L9" s="3">
        <v>1575800</v>
      </c>
      <c r="M9" s="3">
        <v>1670300</v>
      </c>
      <c r="N9" t="s">
        <v>58</v>
      </c>
      <c r="O9" t="s">
        <v>66</v>
      </c>
      <c r="P9" t="s">
        <v>31</v>
      </c>
      <c r="Q9" t="s">
        <v>33</v>
      </c>
      <c r="R9" t="s">
        <v>33</v>
      </c>
      <c r="S9" s="3">
        <v>2022600</v>
      </c>
      <c r="T9" t="str">
        <f>TEXT(tblTransactions[[#This Row],[Date]],"mmm")</f>
        <v>Jan</v>
      </c>
      <c r="U9">
        <f>MONTH(tblTransactions[[#This Row],[Date]])</f>
        <v>1</v>
      </c>
      <c r="V9" t="str">
        <f>"Q"&amp;ROUNDUP(MONTH(tblTransactions[[#This Row],[Date]])/3,0)</f>
        <v>Q1</v>
      </c>
    </row>
    <row r="10" spans="1:22" x14ac:dyDescent="0.25">
      <c r="A10" t="s">
        <v>67</v>
      </c>
      <c r="B10" s="2">
        <v>46034</v>
      </c>
      <c r="C10">
        <v>2026</v>
      </c>
      <c r="D10" t="s">
        <v>68</v>
      </c>
      <c r="E10" t="s">
        <v>552</v>
      </c>
      <c r="F10" t="s">
        <v>24</v>
      </c>
      <c r="G10" t="s">
        <v>43</v>
      </c>
      <c r="H10" t="s">
        <v>44</v>
      </c>
      <c r="I10" t="s">
        <v>45</v>
      </c>
      <c r="J10" t="s">
        <v>57</v>
      </c>
      <c r="K10" t="s">
        <v>44</v>
      </c>
      <c r="L10" s="3">
        <v>515000</v>
      </c>
      <c r="M10" s="3">
        <v>1462100</v>
      </c>
      <c r="N10" t="s">
        <v>58</v>
      </c>
      <c r="O10" t="s">
        <v>30</v>
      </c>
      <c r="P10" t="s">
        <v>31</v>
      </c>
      <c r="Q10" t="s">
        <v>33</v>
      </c>
      <c r="R10" t="s">
        <v>33</v>
      </c>
      <c r="S10" s="3">
        <v>1507600</v>
      </c>
      <c r="T10" t="str">
        <f>TEXT(tblTransactions[[#This Row],[Date]],"mmm")</f>
        <v>Jan</v>
      </c>
      <c r="U10">
        <f>MONTH(tblTransactions[[#This Row],[Date]])</f>
        <v>1</v>
      </c>
      <c r="V10" t="str">
        <f>"Q"&amp;ROUNDUP(MONTH(tblTransactions[[#This Row],[Date]])/3,0)</f>
        <v>Q1</v>
      </c>
    </row>
    <row r="11" spans="1:22" x14ac:dyDescent="0.25">
      <c r="A11" t="s">
        <v>69</v>
      </c>
      <c r="B11" s="2">
        <v>46035</v>
      </c>
      <c r="C11">
        <v>2026</v>
      </c>
      <c r="D11" t="s">
        <v>42</v>
      </c>
      <c r="E11" t="s">
        <v>557</v>
      </c>
      <c r="F11" t="s">
        <v>24</v>
      </c>
      <c r="G11" t="s">
        <v>70</v>
      </c>
      <c r="H11" t="s">
        <v>71</v>
      </c>
      <c r="I11" t="s">
        <v>42</v>
      </c>
      <c r="J11" t="s">
        <v>57</v>
      </c>
      <c r="K11" t="s">
        <v>71</v>
      </c>
      <c r="L11" s="3">
        <v>1710600</v>
      </c>
      <c r="M11" s="3">
        <v>570700</v>
      </c>
      <c r="N11" t="s">
        <v>58</v>
      </c>
      <c r="O11" t="s">
        <v>72</v>
      </c>
      <c r="P11" t="s">
        <v>31</v>
      </c>
      <c r="Q11" t="s">
        <v>33</v>
      </c>
      <c r="R11" t="s">
        <v>33</v>
      </c>
      <c r="S11" s="3">
        <v>-203000</v>
      </c>
      <c r="T11" t="str">
        <f>TEXT(tblTransactions[[#This Row],[Date]],"mmm")</f>
        <v>Jan</v>
      </c>
      <c r="U11">
        <f>MONTH(tblTransactions[[#This Row],[Date]])</f>
        <v>1</v>
      </c>
      <c r="V11" t="str">
        <f>"Q"&amp;ROUNDUP(MONTH(tblTransactions[[#This Row],[Date]])/3,0)</f>
        <v>Q1</v>
      </c>
    </row>
    <row r="12" spans="1:22" x14ac:dyDescent="0.25">
      <c r="A12" t="s">
        <v>73</v>
      </c>
      <c r="B12" s="2">
        <v>46036</v>
      </c>
      <c r="C12">
        <v>2026</v>
      </c>
      <c r="D12" t="s">
        <v>23</v>
      </c>
      <c r="E12" t="s">
        <v>556</v>
      </c>
      <c r="F12" t="s">
        <v>24</v>
      </c>
      <c r="G12" t="s">
        <v>74</v>
      </c>
      <c r="H12" t="s">
        <v>75</v>
      </c>
      <c r="I12" t="s">
        <v>42</v>
      </c>
      <c r="J12" t="s">
        <v>64</v>
      </c>
      <c r="K12" t="s">
        <v>75</v>
      </c>
      <c r="L12" s="3">
        <v>1501100</v>
      </c>
      <c r="M12" s="3">
        <v>359100</v>
      </c>
      <c r="N12" t="s">
        <v>51</v>
      </c>
      <c r="O12" t="s">
        <v>76</v>
      </c>
      <c r="P12" t="s">
        <v>31</v>
      </c>
      <c r="Q12" t="s">
        <v>32</v>
      </c>
      <c r="R12" t="s">
        <v>33</v>
      </c>
      <c r="S12" s="3">
        <v>-1704100</v>
      </c>
      <c r="T12" t="str">
        <f>TEXT(tblTransactions[[#This Row],[Date]],"mmm")</f>
        <v>Jan</v>
      </c>
      <c r="U12">
        <f>MONTH(tblTransactions[[#This Row],[Date]])</f>
        <v>1</v>
      </c>
      <c r="V12" t="str">
        <f>"Q"&amp;ROUNDUP(MONTH(tblTransactions[[#This Row],[Date]])/3,0)</f>
        <v>Q1</v>
      </c>
    </row>
    <row r="13" spans="1:22" x14ac:dyDescent="0.25">
      <c r="A13" t="s">
        <v>77</v>
      </c>
      <c r="B13" s="2">
        <v>46037</v>
      </c>
      <c r="C13">
        <v>2026</v>
      </c>
      <c r="D13" t="s">
        <v>68</v>
      </c>
      <c r="E13" t="s">
        <v>557</v>
      </c>
      <c r="F13" t="s">
        <v>35</v>
      </c>
      <c r="G13" t="s">
        <v>49</v>
      </c>
      <c r="H13" t="s">
        <v>49</v>
      </c>
      <c r="I13" t="s">
        <v>27</v>
      </c>
      <c r="J13" t="s">
        <v>78</v>
      </c>
      <c r="K13" t="s">
        <v>49</v>
      </c>
      <c r="L13" s="3">
        <v>3243500</v>
      </c>
      <c r="M13" s="3">
        <v>0</v>
      </c>
      <c r="N13" t="s">
        <v>29</v>
      </c>
      <c r="O13" t="s">
        <v>40</v>
      </c>
      <c r="P13" t="s">
        <v>31</v>
      </c>
      <c r="Q13" t="s">
        <v>33</v>
      </c>
      <c r="R13" t="s">
        <v>33</v>
      </c>
      <c r="S13" s="3">
        <v>1539400</v>
      </c>
      <c r="T13" t="str">
        <f>TEXT(tblTransactions[[#This Row],[Date]],"mmm")</f>
        <v>Jan</v>
      </c>
      <c r="U13">
        <f>MONTH(tblTransactions[[#This Row],[Date]])</f>
        <v>1</v>
      </c>
      <c r="V13" t="str">
        <f>"Q"&amp;ROUNDUP(MONTH(tblTransactions[[#This Row],[Date]])/3,0)</f>
        <v>Q1</v>
      </c>
    </row>
    <row r="14" spans="1:22" x14ac:dyDescent="0.25">
      <c r="A14" t="s">
        <v>79</v>
      </c>
      <c r="B14" s="2">
        <v>46039</v>
      </c>
      <c r="C14">
        <v>2026</v>
      </c>
      <c r="D14" t="s">
        <v>23</v>
      </c>
      <c r="E14" t="s">
        <v>553</v>
      </c>
      <c r="F14" t="s">
        <v>35</v>
      </c>
      <c r="G14" t="s">
        <v>80</v>
      </c>
      <c r="H14" t="s">
        <v>81</v>
      </c>
      <c r="I14" t="s">
        <v>27</v>
      </c>
      <c r="J14" t="s">
        <v>57</v>
      </c>
      <c r="K14" t="s">
        <v>81</v>
      </c>
      <c r="L14" s="3">
        <v>7716800</v>
      </c>
      <c r="M14" s="3">
        <v>0</v>
      </c>
      <c r="N14" t="s">
        <v>29</v>
      </c>
      <c r="O14" t="s">
        <v>40</v>
      </c>
      <c r="P14" t="s">
        <v>31</v>
      </c>
      <c r="Q14" t="s">
        <v>33</v>
      </c>
      <c r="R14" t="s">
        <v>33</v>
      </c>
      <c r="S14" s="3">
        <v>9256200</v>
      </c>
      <c r="T14" t="str">
        <f>TEXT(tblTransactions[[#This Row],[Date]],"mmm")</f>
        <v>Jan</v>
      </c>
      <c r="U14">
        <f>MONTH(tblTransactions[[#This Row],[Date]])</f>
        <v>1</v>
      </c>
      <c r="V14" t="str">
        <f>"Q"&amp;ROUNDUP(MONTH(tblTransactions[[#This Row],[Date]])/3,0)</f>
        <v>Q1</v>
      </c>
    </row>
    <row r="15" spans="1:22" x14ac:dyDescent="0.25">
      <c r="A15" t="s">
        <v>82</v>
      </c>
      <c r="B15" s="2">
        <v>46040</v>
      </c>
      <c r="C15">
        <v>2026</v>
      </c>
      <c r="D15" t="s">
        <v>42</v>
      </c>
      <c r="E15" t="s">
        <v>556</v>
      </c>
      <c r="F15" t="s">
        <v>35</v>
      </c>
      <c r="G15" t="s">
        <v>49</v>
      </c>
      <c r="H15" t="s">
        <v>49</v>
      </c>
      <c r="I15" t="s">
        <v>56</v>
      </c>
      <c r="J15" t="s">
        <v>46</v>
      </c>
      <c r="K15" t="s">
        <v>49</v>
      </c>
      <c r="L15" s="3">
        <v>2319300</v>
      </c>
      <c r="M15" s="3">
        <v>0</v>
      </c>
      <c r="N15" t="s">
        <v>51</v>
      </c>
      <c r="O15" t="s">
        <v>30</v>
      </c>
      <c r="P15" t="s">
        <v>31</v>
      </c>
      <c r="Q15" t="s">
        <v>33</v>
      </c>
      <c r="R15" t="s">
        <v>33</v>
      </c>
      <c r="S15" s="3">
        <v>11575500</v>
      </c>
      <c r="T15" t="str">
        <f>TEXT(tblTransactions[[#This Row],[Date]],"mmm")</f>
        <v>Jan</v>
      </c>
      <c r="U15">
        <f>MONTH(tblTransactions[[#This Row],[Date]])</f>
        <v>1</v>
      </c>
      <c r="V15" t="str">
        <f>"Q"&amp;ROUNDUP(MONTH(tblTransactions[[#This Row],[Date]])/3,0)</f>
        <v>Q1</v>
      </c>
    </row>
    <row r="16" spans="1:22" x14ac:dyDescent="0.25">
      <c r="A16" t="s">
        <v>83</v>
      </c>
      <c r="B16" s="2">
        <v>46041</v>
      </c>
      <c r="C16">
        <v>2026</v>
      </c>
      <c r="D16" t="s">
        <v>68</v>
      </c>
      <c r="E16" t="s">
        <v>556</v>
      </c>
      <c r="F16" t="s">
        <v>24</v>
      </c>
      <c r="G16" t="s">
        <v>70</v>
      </c>
      <c r="H16" t="s">
        <v>71</v>
      </c>
      <c r="I16" t="s">
        <v>45</v>
      </c>
      <c r="J16" t="s">
        <v>64</v>
      </c>
      <c r="K16" t="s">
        <v>71</v>
      </c>
      <c r="L16" s="3">
        <v>1075500</v>
      </c>
      <c r="M16" s="3">
        <v>759500</v>
      </c>
      <c r="N16" t="s">
        <v>29</v>
      </c>
      <c r="O16" t="s">
        <v>52</v>
      </c>
      <c r="P16" t="s">
        <v>31</v>
      </c>
      <c r="Q16" t="s">
        <v>33</v>
      </c>
      <c r="R16" t="s">
        <v>33</v>
      </c>
      <c r="S16" s="3">
        <v>10500000</v>
      </c>
      <c r="T16" t="str">
        <f>TEXT(tblTransactions[[#This Row],[Date]],"mmm")</f>
        <v>Jan</v>
      </c>
      <c r="U16">
        <f>MONTH(tblTransactions[[#This Row],[Date]])</f>
        <v>1</v>
      </c>
      <c r="V16" t="str">
        <f>"Q"&amp;ROUNDUP(MONTH(tblTransactions[[#This Row],[Date]])/3,0)</f>
        <v>Q1</v>
      </c>
    </row>
    <row r="17" spans="1:22" x14ac:dyDescent="0.25">
      <c r="A17" t="s">
        <v>84</v>
      </c>
      <c r="B17" s="2">
        <v>46042</v>
      </c>
      <c r="C17">
        <v>2026</v>
      </c>
      <c r="D17" t="s">
        <v>23</v>
      </c>
      <c r="E17" t="s">
        <v>554</v>
      </c>
      <c r="F17" t="s">
        <v>24</v>
      </c>
      <c r="G17" t="s">
        <v>74</v>
      </c>
      <c r="H17" t="s">
        <v>75</v>
      </c>
      <c r="I17" t="s">
        <v>56</v>
      </c>
      <c r="J17" t="s">
        <v>28</v>
      </c>
      <c r="K17" t="s">
        <v>75</v>
      </c>
      <c r="L17" s="3">
        <v>392100</v>
      </c>
      <c r="M17" s="3">
        <v>1878200</v>
      </c>
      <c r="N17" t="s">
        <v>58</v>
      </c>
      <c r="O17" t="s">
        <v>52</v>
      </c>
      <c r="P17" t="s">
        <v>31</v>
      </c>
      <c r="Q17" t="s">
        <v>33</v>
      </c>
      <c r="R17" t="s">
        <v>33</v>
      </c>
      <c r="S17" s="3">
        <v>10107900</v>
      </c>
      <c r="T17" t="str">
        <f>TEXT(tblTransactions[[#This Row],[Date]],"mmm")</f>
        <v>Jan</v>
      </c>
      <c r="U17">
        <f>MONTH(tblTransactions[[#This Row],[Date]])</f>
        <v>1</v>
      </c>
      <c r="V17" t="str">
        <f>"Q"&amp;ROUNDUP(MONTH(tblTransactions[[#This Row],[Date]])/3,0)</f>
        <v>Q1</v>
      </c>
    </row>
    <row r="18" spans="1:22" x14ac:dyDescent="0.25">
      <c r="A18" t="s">
        <v>85</v>
      </c>
      <c r="B18" s="2">
        <v>46043</v>
      </c>
      <c r="C18">
        <v>2026</v>
      </c>
      <c r="D18" t="s">
        <v>68</v>
      </c>
      <c r="E18" t="s">
        <v>554</v>
      </c>
      <c r="F18" t="s">
        <v>24</v>
      </c>
      <c r="G18" t="s">
        <v>74</v>
      </c>
      <c r="H18" t="s">
        <v>75</v>
      </c>
      <c r="I18" t="s">
        <v>27</v>
      </c>
      <c r="J18" t="s">
        <v>64</v>
      </c>
      <c r="K18" t="s">
        <v>75</v>
      </c>
      <c r="L18" s="3">
        <v>1423100</v>
      </c>
      <c r="M18" s="3">
        <v>1599300</v>
      </c>
      <c r="N18" t="s">
        <v>51</v>
      </c>
      <c r="O18" t="s">
        <v>66</v>
      </c>
      <c r="P18" t="s">
        <v>31</v>
      </c>
      <c r="Q18" t="s">
        <v>33</v>
      </c>
      <c r="R18" t="s">
        <v>33</v>
      </c>
      <c r="S18" s="3">
        <v>8684800</v>
      </c>
      <c r="T18" t="str">
        <f>TEXT(tblTransactions[[#This Row],[Date]],"mmm")</f>
        <v>Jan</v>
      </c>
      <c r="U18">
        <f>MONTH(tblTransactions[[#This Row],[Date]])</f>
        <v>1</v>
      </c>
      <c r="V18" t="str">
        <f>"Q"&amp;ROUNDUP(MONTH(tblTransactions[[#This Row],[Date]])/3,0)</f>
        <v>Q1</v>
      </c>
    </row>
    <row r="19" spans="1:22" x14ac:dyDescent="0.25">
      <c r="A19" t="s">
        <v>86</v>
      </c>
      <c r="B19" s="2">
        <v>46044</v>
      </c>
      <c r="C19">
        <v>2026</v>
      </c>
      <c r="D19" t="s">
        <v>42</v>
      </c>
      <c r="E19" t="s">
        <v>556</v>
      </c>
      <c r="F19" t="s">
        <v>24</v>
      </c>
      <c r="G19" t="s">
        <v>62</v>
      </c>
      <c r="H19" t="s">
        <v>63</v>
      </c>
      <c r="I19" t="s">
        <v>50</v>
      </c>
      <c r="J19" t="s">
        <v>87</v>
      </c>
      <c r="K19" t="s">
        <v>63</v>
      </c>
      <c r="L19" s="3">
        <v>1409700</v>
      </c>
      <c r="M19" s="3">
        <v>368800</v>
      </c>
      <c r="N19" t="s">
        <v>51</v>
      </c>
      <c r="O19" t="s">
        <v>72</v>
      </c>
      <c r="P19" t="s">
        <v>31</v>
      </c>
      <c r="Q19" t="s">
        <v>33</v>
      </c>
      <c r="R19" t="s">
        <v>32</v>
      </c>
      <c r="S19" s="3">
        <v>7275100</v>
      </c>
      <c r="T19" t="str">
        <f>TEXT(tblTransactions[[#This Row],[Date]],"mmm")</f>
        <v>Jan</v>
      </c>
      <c r="U19">
        <f>MONTH(tblTransactions[[#This Row],[Date]])</f>
        <v>1</v>
      </c>
      <c r="V19" t="str">
        <f>"Q"&amp;ROUNDUP(MONTH(tblTransactions[[#This Row],[Date]])/3,0)</f>
        <v>Q1</v>
      </c>
    </row>
    <row r="20" spans="1:22" x14ac:dyDescent="0.25">
      <c r="A20" t="s">
        <v>88</v>
      </c>
      <c r="B20" s="2">
        <v>46045</v>
      </c>
      <c r="C20">
        <v>2026</v>
      </c>
      <c r="D20" t="s">
        <v>42</v>
      </c>
      <c r="E20" t="s">
        <v>553</v>
      </c>
      <c r="F20" t="s">
        <v>35</v>
      </c>
      <c r="G20" t="s">
        <v>36</v>
      </c>
      <c r="H20" t="s">
        <v>36</v>
      </c>
      <c r="I20" t="s">
        <v>42</v>
      </c>
      <c r="J20" t="s">
        <v>28</v>
      </c>
      <c r="K20" t="s">
        <v>36</v>
      </c>
      <c r="L20" s="3">
        <v>7960900</v>
      </c>
      <c r="M20" s="3">
        <v>0</v>
      </c>
      <c r="N20" t="s">
        <v>51</v>
      </c>
      <c r="O20" t="s">
        <v>40</v>
      </c>
      <c r="P20" t="s">
        <v>31</v>
      </c>
      <c r="Q20" t="s">
        <v>33</v>
      </c>
      <c r="R20" t="s">
        <v>33</v>
      </c>
      <c r="S20" s="3">
        <v>15236000</v>
      </c>
      <c r="T20" t="str">
        <f>TEXT(tblTransactions[[#This Row],[Date]],"mmm")</f>
        <v>Jan</v>
      </c>
      <c r="U20">
        <f>MONTH(tblTransactions[[#This Row],[Date]])</f>
        <v>1</v>
      </c>
      <c r="V20" t="str">
        <f>"Q"&amp;ROUNDUP(MONTH(tblTransactions[[#This Row],[Date]])/3,0)</f>
        <v>Q1</v>
      </c>
    </row>
    <row r="21" spans="1:22" x14ac:dyDescent="0.25">
      <c r="A21" t="s">
        <v>89</v>
      </c>
      <c r="B21" s="2">
        <v>46046</v>
      </c>
      <c r="C21">
        <v>2026</v>
      </c>
      <c r="D21" t="s">
        <v>68</v>
      </c>
      <c r="E21" t="s">
        <v>556</v>
      </c>
      <c r="F21" t="s">
        <v>24</v>
      </c>
      <c r="G21" t="s">
        <v>25</v>
      </c>
      <c r="H21" t="s">
        <v>26</v>
      </c>
      <c r="I21" t="s">
        <v>50</v>
      </c>
      <c r="J21" t="s">
        <v>64</v>
      </c>
      <c r="K21" t="s">
        <v>26</v>
      </c>
      <c r="L21" s="3">
        <v>1158400</v>
      </c>
      <c r="M21" s="3">
        <v>1138000</v>
      </c>
      <c r="N21" t="s">
        <v>58</v>
      </c>
      <c r="O21" t="s">
        <v>66</v>
      </c>
      <c r="P21" t="s">
        <v>31</v>
      </c>
      <c r="Q21" t="s">
        <v>32</v>
      </c>
      <c r="R21" t="s">
        <v>33</v>
      </c>
      <c r="S21" s="3">
        <v>14077600</v>
      </c>
      <c r="T21" t="str">
        <f>TEXT(tblTransactions[[#This Row],[Date]],"mmm")</f>
        <v>Jan</v>
      </c>
      <c r="U21">
        <f>MONTH(tblTransactions[[#This Row],[Date]])</f>
        <v>1</v>
      </c>
      <c r="V21" t="str">
        <f>"Q"&amp;ROUNDUP(MONTH(tblTransactions[[#This Row],[Date]])/3,0)</f>
        <v>Q1</v>
      </c>
    </row>
    <row r="22" spans="1:22" x14ac:dyDescent="0.25">
      <c r="A22" t="s">
        <v>90</v>
      </c>
      <c r="B22" s="2">
        <v>46047</v>
      </c>
      <c r="C22">
        <v>2026</v>
      </c>
      <c r="D22" t="s">
        <v>68</v>
      </c>
      <c r="E22" t="s">
        <v>557</v>
      </c>
      <c r="F22" t="s">
        <v>24</v>
      </c>
      <c r="G22" t="s">
        <v>74</v>
      </c>
      <c r="H22" t="s">
        <v>75</v>
      </c>
      <c r="I22" t="s">
        <v>27</v>
      </c>
      <c r="J22" t="s">
        <v>78</v>
      </c>
      <c r="K22" t="s">
        <v>75</v>
      </c>
      <c r="L22" s="3">
        <v>318200</v>
      </c>
      <c r="M22" s="3">
        <v>421600</v>
      </c>
      <c r="N22" t="s">
        <v>58</v>
      </c>
      <c r="O22" t="s">
        <v>52</v>
      </c>
      <c r="P22" t="s">
        <v>31</v>
      </c>
      <c r="Q22" t="s">
        <v>33</v>
      </c>
      <c r="R22" t="s">
        <v>33</v>
      </c>
      <c r="S22" s="3">
        <v>13759400</v>
      </c>
      <c r="T22" t="str">
        <f>TEXT(tblTransactions[[#This Row],[Date]],"mmm")</f>
        <v>Jan</v>
      </c>
      <c r="U22">
        <f>MONTH(tblTransactions[[#This Row],[Date]])</f>
        <v>1</v>
      </c>
      <c r="V22" t="str">
        <f>"Q"&amp;ROUNDUP(MONTH(tblTransactions[[#This Row],[Date]])/3,0)</f>
        <v>Q1</v>
      </c>
    </row>
    <row r="23" spans="1:22" x14ac:dyDescent="0.25">
      <c r="A23" t="s">
        <v>91</v>
      </c>
      <c r="B23" s="2">
        <v>46048</v>
      </c>
      <c r="C23">
        <v>2026</v>
      </c>
      <c r="D23" t="s">
        <v>23</v>
      </c>
      <c r="E23" t="s">
        <v>554</v>
      </c>
      <c r="F23" t="s">
        <v>24</v>
      </c>
      <c r="G23" t="s">
        <v>74</v>
      </c>
      <c r="H23" t="s">
        <v>75</v>
      </c>
      <c r="I23" t="s">
        <v>42</v>
      </c>
      <c r="J23" t="s">
        <v>92</v>
      </c>
      <c r="K23" t="s">
        <v>75</v>
      </c>
      <c r="L23" s="3">
        <v>418800</v>
      </c>
      <c r="M23" s="3">
        <v>1094700</v>
      </c>
      <c r="N23" t="s">
        <v>29</v>
      </c>
      <c r="O23" t="s">
        <v>66</v>
      </c>
      <c r="P23" t="s">
        <v>31</v>
      </c>
      <c r="Q23" t="s">
        <v>33</v>
      </c>
      <c r="R23" t="s">
        <v>33</v>
      </c>
      <c r="S23" s="3">
        <v>13340600</v>
      </c>
      <c r="T23" t="str">
        <f>TEXT(tblTransactions[[#This Row],[Date]],"mmm")</f>
        <v>Jan</v>
      </c>
      <c r="U23">
        <f>MONTH(tblTransactions[[#This Row],[Date]])</f>
        <v>1</v>
      </c>
      <c r="V23" t="str">
        <f>"Q"&amp;ROUNDUP(MONTH(tblTransactions[[#This Row],[Date]])/3,0)</f>
        <v>Q1</v>
      </c>
    </row>
    <row r="24" spans="1:22" x14ac:dyDescent="0.25">
      <c r="A24" t="s">
        <v>93</v>
      </c>
      <c r="B24" s="2">
        <v>46049</v>
      </c>
      <c r="C24">
        <v>2026</v>
      </c>
      <c r="D24" t="s">
        <v>23</v>
      </c>
      <c r="E24" t="s">
        <v>556</v>
      </c>
      <c r="F24" t="s">
        <v>24</v>
      </c>
      <c r="G24" t="s">
        <v>43</v>
      </c>
      <c r="H24" t="s">
        <v>44</v>
      </c>
      <c r="I24" t="s">
        <v>27</v>
      </c>
      <c r="J24" t="s">
        <v>38</v>
      </c>
      <c r="K24" t="s">
        <v>44</v>
      </c>
      <c r="L24" s="3">
        <v>1896000</v>
      </c>
      <c r="M24" s="3">
        <v>1598500</v>
      </c>
      <c r="N24" t="s">
        <v>29</v>
      </c>
      <c r="O24" t="s">
        <v>76</v>
      </c>
      <c r="P24" t="s">
        <v>31</v>
      </c>
      <c r="Q24" t="s">
        <v>33</v>
      </c>
      <c r="R24" t="s">
        <v>33</v>
      </c>
      <c r="S24" s="3">
        <v>11444600</v>
      </c>
      <c r="T24" t="str">
        <f>TEXT(tblTransactions[[#This Row],[Date]],"mmm")</f>
        <v>Jan</v>
      </c>
      <c r="U24">
        <f>MONTH(tblTransactions[[#This Row],[Date]])</f>
        <v>1</v>
      </c>
      <c r="V24" t="str">
        <f>"Q"&amp;ROUNDUP(MONTH(tblTransactions[[#This Row],[Date]])/3,0)</f>
        <v>Q1</v>
      </c>
    </row>
    <row r="25" spans="1:22" x14ac:dyDescent="0.25">
      <c r="A25" t="s">
        <v>94</v>
      </c>
      <c r="B25" s="2">
        <v>46050</v>
      </c>
      <c r="C25">
        <v>2026</v>
      </c>
      <c r="D25" t="s">
        <v>42</v>
      </c>
      <c r="E25" t="s">
        <v>557</v>
      </c>
      <c r="F25" t="s">
        <v>35</v>
      </c>
      <c r="G25" t="s">
        <v>95</v>
      </c>
      <c r="H25" t="s">
        <v>96</v>
      </c>
      <c r="I25" t="s">
        <v>27</v>
      </c>
      <c r="J25" t="s">
        <v>87</v>
      </c>
      <c r="K25" t="s">
        <v>96</v>
      </c>
      <c r="L25" s="3">
        <v>1029400</v>
      </c>
      <c r="M25" s="3">
        <v>0</v>
      </c>
      <c r="N25" t="s">
        <v>39</v>
      </c>
      <c r="O25" t="s">
        <v>52</v>
      </c>
      <c r="P25" t="s">
        <v>31</v>
      </c>
      <c r="Q25" t="s">
        <v>33</v>
      </c>
      <c r="R25" t="s">
        <v>32</v>
      </c>
      <c r="S25" s="3">
        <v>12474000</v>
      </c>
      <c r="T25" t="str">
        <f>TEXT(tblTransactions[[#This Row],[Date]],"mmm")</f>
        <v>Jan</v>
      </c>
      <c r="U25">
        <f>MONTH(tblTransactions[[#This Row],[Date]])</f>
        <v>1</v>
      </c>
      <c r="V25" t="str">
        <f>"Q"&amp;ROUNDUP(MONTH(tblTransactions[[#This Row],[Date]])/3,0)</f>
        <v>Q1</v>
      </c>
    </row>
    <row r="26" spans="1:22" x14ac:dyDescent="0.25">
      <c r="A26" t="s">
        <v>97</v>
      </c>
      <c r="B26" s="2">
        <v>46051</v>
      </c>
      <c r="C26">
        <v>2026</v>
      </c>
      <c r="D26" t="s">
        <v>23</v>
      </c>
      <c r="E26" t="s">
        <v>556</v>
      </c>
      <c r="F26" t="s">
        <v>24</v>
      </c>
      <c r="G26" t="s">
        <v>70</v>
      </c>
      <c r="H26" t="s">
        <v>71</v>
      </c>
      <c r="I26" t="s">
        <v>45</v>
      </c>
      <c r="J26" t="s">
        <v>87</v>
      </c>
      <c r="K26" t="s">
        <v>71</v>
      </c>
      <c r="L26" s="3">
        <v>210500</v>
      </c>
      <c r="M26" s="3">
        <v>284300</v>
      </c>
      <c r="N26" t="s">
        <v>51</v>
      </c>
      <c r="O26" t="s">
        <v>98</v>
      </c>
      <c r="P26" t="s">
        <v>31</v>
      </c>
      <c r="Q26" t="s">
        <v>33</v>
      </c>
      <c r="R26" t="s">
        <v>33</v>
      </c>
      <c r="S26" s="3">
        <v>12263500</v>
      </c>
      <c r="T26" t="str">
        <f>TEXT(tblTransactions[[#This Row],[Date]],"mmm")</f>
        <v>Jan</v>
      </c>
      <c r="U26">
        <f>MONTH(tblTransactions[[#This Row],[Date]])</f>
        <v>1</v>
      </c>
      <c r="V26" t="str">
        <f>"Q"&amp;ROUNDUP(MONTH(tblTransactions[[#This Row],[Date]])/3,0)</f>
        <v>Q1</v>
      </c>
    </row>
    <row r="27" spans="1:22" x14ac:dyDescent="0.25">
      <c r="A27" t="s">
        <v>99</v>
      </c>
      <c r="B27" s="2">
        <v>46052</v>
      </c>
      <c r="C27">
        <v>2026</v>
      </c>
      <c r="D27" t="s">
        <v>68</v>
      </c>
      <c r="E27" t="s">
        <v>553</v>
      </c>
      <c r="F27" t="s">
        <v>35</v>
      </c>
      <c r="G27" t="s">
        <v>80</v>
      </c>
      <c r="H27" t="s">
        <v>81</v>
      </c>
      <c r="I27" t="s">
        <v>50</v>
      </c>
      <c r="J27" t="s">
        <v>78</v>
      </c>
      <c r="K27" t="s">
        <v>81</v>
      </c>
      <c r="L27" s="3">
        <v>3006700</v>
      </c>
      <c r="M27" s="3">
        <v>0</v>
      </c>
      <c r="N27" t="s">
        <v>51</v>
      </c>
      <c r="O27" t="s">
        <v>72</v>
      </c>
      <c r="P27" t="s">
        <v>31</v>
      </c>
      <c r="Q27" t="s">
        <v>33</v>
      </c>
      <c r="R27" t="s">
        <v>33</v>
      </c>
      <c r="S27" s="3">
        <v>15270200</v>
      </c>
      <c r="T27" t="str">
        <f>TEXT(tblTransactions[[#This Row],[Date]],"mmm")</f>
        <v>Jan</v>
      </c>
      <c r="U27">
        <f>MONTH(tblTransactions[[#This Row],[Date]])</f>
        <v>1</v>
      </c>
      <c r="V27" t="str">
        <f>"Q"&amp;ROUNDUP(MONTH(tblTransactions[[#This Row],[Date]])/3,0)</f>
        <v>Q1</v>
      </c>
    </row>
    <row r="28" spans="1:22" x14ac:dyDescent="0.25">
      <c r="A28" t="s">
        <v>100</v>
      </c>
      <c r="B28" s="2">
        <v>46053</v>
      </c>
      <c r="C28">
        <v>2026</v>
      </c>
      <c r="D28" t="s">
        <v>42</v>
      </c>
      <c r="E28" t="s">
        <v>555</v>
      </c>
      <c r="F28" t="s">
        <v>24</v>
      </c>
      <c r="G28" t="s">
        <v>101</v>
      </c>
      <c r="H28" t="s">
        <v>102</v>
      </c>
      <c r="I28" t="s">
        <v>50</v>
      </c>
      <c r="J28" t="s">
        <v>28</v>
      </c>
      <c r="K28" t="s">
        <v>102</v>
      </c>
      <c r="L28" s="3">
        <v>1905700</v>
      </c>
      <c r="M28" s="3">
        <v>845300</v>
      </c>
      <c r="N28" t="s">
        <v>29</v>
      </c>
      <c r="O28" t="s">
        <v>47</v>
      </c>
      <c r="P28" t="s">
        <v>31</v>
      </c>
      <c r="Q28" t="s">
        <v>33</v>
      </c>
      <c r="R28" t="s">
        <v>33</v>
      </c>
      <c r="S28" s="3">
        <v>13364500</v>
      </c>
      <c r="T28" t="str">
        <f>TEXT(tblTransactions[[#This Row],[Date]],"mmm")</f>
        <v>Jan</v>
      </c>
      <c r="U28">
        <f>MONTH(tblTransactions[[#This Row],[Date]])</f>
        <v>1</v>
      </c>
      <c r="V28" t="str">
        <f>"Q"&amp;ROUNDUP(MONTH(tblTransactions[[#This Row],[Date]])/3,0)</f>
        <v>Q1</v>
      </c>
    </row>
    <row r="29" spans="1:22" x14ac:dyDescent="0.25">
      <c r="A29" t="s">
        <v>103</v>
      </c>
      <c r="B29" s="2">
        <v>46055</v>
      </c>
      <c r="C29">
        <v>2026</v>
      </c>
      <c r="D29" t="s">
        <v>68</v>
      </c>
      <c r="E29" t="s">
        <v>555</v>
      </c>
      <c r="F29" t="s">
        <v>35</v>
      </c>
      <c r="G29" t="s">
        <v>95</v>
      </c>
      <c r="H29" t="s">
        <v>96</v>
      </c>
      <c r="I29" t="s">
        <v>56</v>
      </c>
      <c r="J29" t="s">
        <v>78</v>
      </c>
      <c r="K29" t="s">
        <v>96</v>
      </c>
      <c r="L29" s="3">
        <v>5853400</v>
      </c>
      <c r="M29" s="3">
        <v>0</v>
      </c>
      <c r="N29" t="s">
        <v>29</v>
      </c>
      <c r="O29" t="s">
        <v>40</v>
      </c>
      <c r="P29" t="s">
        <v>31</v>
      </c>
      <c r="Q29" t="s">
        <v>33</v>
      </c>
      <c r="R29" t="s">
        <v>33</v>
      </c>
      <c r="S29" s="3">
        <v>19217900</v>
      </c>
      <c r="T29" t="str">
        <f>TEXT(tblTransactions[[#This Row],[Date]],"mmm")</f>
        <v>Feb</v>
      </c>
      <c r="U29">
        <f>MONTH(tblTransactions[[#This Row],[Date]])</f>
        <v>2</v>
      </c>
      <c r="V29" t="str">
        <f>"Q"&amp;ROUNDUP(MONTH(tblTransactions[[#This Row],[Date]])/3,0)</f>
        <v>Q1</v>
      </c>
    </row>
    <row r="30" spans="1:22" x14ac:dyDescent="0.25">
      <c r="A30" t="s">
        <v>104</v>
      </c>
      <c r="B30" s="2">
        <v>46056</v>
      </c>
      <c r="C30">
        <v>2026</v>
      </c>
      <c r="D30" t="s">
        <v>42</v>
      </c>
      <c r="E30" t="s">
        <v>557</v>
      </c>
      <c r="F30" t="s">
        <v>24</v>
      </c>
      <c r="G30" t="s">
        <v>25</v>
      </c>
      <c r="H30" t="s">
        <v>26</v>
      </c>
      <c r="I30" t="s">
        <v>45</v>
      </c>
      <c r="J30" t="s">
        <v>78</v>
      </c>
      <c r="K30" t="s">
        <v>26</v>
      </c>
      <c r="L30" s="3">
        <v>401700</v>
      </c>
      <c r="M30" s="3">
        <v>367200</v>
      </c>
      <c r="N30" t="s">
        <v>58</v>
      </c>
      <c r="O30" t="s">
        <v>60</v>
      </c>
      <c r="P30" t="s">
        <v>31</v>
      </c>
      <c r="Q30" t="s">
        <v>33</v>
      </c>
      <c r="R30" t="s">
        <v>33</v>
      </c>
      <c r="S30" s="3">
        <v>18816200</v>
      </c>
      <c r="T30" t="str">
        <f>TEXT(tblTransactions[[#This Row],[Date]],"mmm")</f>
        <v>Feb</v>
      </c>
      <c r="U30">
        <f>MONTH(tblTransactions[[#This Row],[Date]])</f>
        <v>2</v>
      </c>
      <c r="V30" t="str">
        <f>"Q"&amp;ROUNDUP(MONTH(tblTransactions[[#This Row],[Date]])/3,0)</f>
        <v>Q1</v>
      </c>
    </row>
    <row r="31" spans="1:22" x14ac:dyDescent="0.25">
      <c r="A31" t="s">
        <v>105</v>
      </c>
      <c r="B31" s="2">
        <v>46057</v>
      </c>
      <c r="C31">
        <v>2026</v>
      </c>
      <c r="D31" t="s">
        <v>42</v>
      </c>
      <c r="E31" t="s">
        <v>556</v>
      </c>
      <c r="F31" t="s">
        <v>24</v>
      </c>
      <c r="G31" t="s">
        <v>74</v>
      </c>
      <c r="H31" t="s">
        <v>75</v>
      </c>
      <c r="I31" t="s">
        <v>45</v>
      </c>
      <c r="J31" t="s">
        <v>78</v>
      </c>
      <c r="K31" t="s">
        <v>75</v>
      </c>
      <c r="L31" s="3">
        <v>630700</v>
      </c>
      <c r="M31" s="3">
        <v>181900</v>
      </c>
      <c r="N31" t="s">
        <v>39</v>
      </c>
      <c r="O31" t="s">
        <v>76</v>
      </c>
      <c r="P31" t="s">
        <v>31</v>
      </c>
      <c r="Q31" t="s">
        <v>33</v>
      </c>
      <c r="R31" t="s">
        <v>32</v>
      </c>
      <c r="S31" s="3">
        <v>18185500</v>
      </c>
      <c r="T31" t="str">
        <f>TEXT(tblTransactions[[#This Row],[Date]],"mmm")</f>
        <v>Feb</v>
      </c>
      <c r="U31">
        <f>MONTH(tblTransactions[[#This Row],[Date]])</f>
        <v>2</v>
      </c>
      <c r="V31" t="str">
        <f>"Q"&amp;ROUNDUP(MONTH(tblTransactions[[#This Row],[Date]])/3,0)</f>
        <v>Q1</v>
      </c>
    </row>
    <row r="32" spans="1:22" x14ac:dyDescent="0.25">
      <c r="A32" t="s">
        <v>106</v>
      </c>
      <c r="B32" s="2">
        <v>46058</v>
      </c>
      <c r="C32">
        <v>2026</v>
      </c>
      <c r="D32" t="s">
        <v>23</v>
      </c>
      <c r="E32" t="s">
        <v>557</v>
      </c>
      <c r="F32" t="s">
        <v>24</v>
      </c>
      <c r="G32" t="s">
        <v>107</v>
      </c>
      <c r="H32" t="s">
        <v>108</v>
      </c>
      <c r="I32" t="s">
        <v>37</v>
      </c>
      <c r="J32" t="s">
        <v>92</v>
      </c>
      <c r="K32" t="s">
        <v>108</v>
      </c>
      <c r="L32" s="3">
        <v>743400</v>
      </c>
      <c r="M32" s="3">
        <v>1211200</v>
      </c>
      <c r="N32" t="s">
        <v>51</v>
      </c>
      <c r="O32" t="s">
        <v>109</v>
      </c>
      <c r="P32" t="s">
        <v>31</v>
      </c>
      <c r="Q32" t="s">
        <v>33</v>
      </c>
      <c r="R32" t="s">
        <v>33</v>
      </c>
      <c r="S32" s="3">
        <v>17442100</v>
      </c>
      <c r="T32" t="str">
        <f>TEXT(tblTransactions[[#This Row],[Date]],"mmm")</f>
        <v>Feb</v>
      </c>
      <c r="U32">
        <f>MONTH(tblTransactions[[#This Row],[Date]])</f>
        <v>2</v>
      </c>
      <c r="V32" t="str">
        <f>"Q"&amp;ROUNDUP(MONTH(tblTransactions[[#This Row],[Date]])/3,0)</f>
        <v>Q1</v>
      </c>
    </row>
    <row r="33" spans="1:22" x14ac:dyDescent="0.25">
      <c r="A33" t="s">
        <v>110</v>
      </c>
      <c r="B33" s="2">
        <v>46059</v>
      </c>
      <c r="C33">
        <v>2026</v>
      </c>
      <c r="D33" t="s">
        <v>23</v>
      </c>
      <c r="E33" t="s">
        <v>557</v>
      </c>
      <c r="F33" t="s">
        <v>24</v>
      </c>
      <c r="G33" t="s">
        <v>101</v>
      </c>
      <c r="H33" t="s">
        <v>102</v>
      </c>
      <c r="I33" t="s">
        <v>45</v>
      </c>
      <c r="J33" t="s">
        <v>64</v>
      </c>
      <c r="K33" t="s">
        <v>102</v>
      </c>
      <c r="L33" s="3">
        <v>932700</v>
      </c>
      <c r="M33" s="3">
        <v>148800</v>
      </c>
      <c r="N33" t="s">
        <v>51</v>
      </c>
      <c r="O33" t="s">
        <v>47</v>
      </c>
      <c r="P33" t="s">
        <v>31</v>
      </c>
      <c r="Q33" t="s">
        <v>32</v>
      </c>
      <c r="R33" t="s">
        <v>33</v>
      </c>
      <c r="S33" s="3">
        <v>16509400</v>
      </c>
      <c r="T33" t="str">
        <f>TEXT(tblTransactions[[#This Row],[Date]],"mmm")</f>
        <v>Feb</v>
      </c>
      <c r="U33">
        <f>MONTH(tblTransactions[[#This Row],[Date]])</f>
        <v>2</v>
      </c>
      <c r="V33" t="str">
        <f>"Q"&amp;ROUNDUP(MONTH(tblTransactions[[#This Row],[Date]])/3,0)</f>
        <v>Q1</v>
      </c>
    </row>
    <row r="34" spans="1:22" x14ac:dyDescent="0.25">
      <c r="A34" t="s">
        <v>111</v>
      </c>
      <c r="B34" s="2">
        <v>46060</v>
      </c>
      <c r="C34">
        <v>2026</v>
      </c>
      <c r="D34" t="s">
        <v>42</v>
      </c>
      <c r="E34" t="s">
        <v>554</v>
      </c>
      <c r="F34" t="s">
        <v>24</v>
      </c>
      <c r="G34" t="s">
        <v>101</v>
      </c>
      <c r="H34" t="s">
        <v>102</v>
      </c>
      <c r="I34" t="s">
        <v>50</v>
      </c>
      <c r="J34" t="s">
        <v>38</v>
      </c>
      <c r="K34" t="s">
        <v>102</v>
      </c>
      <c r="L34" s="3">
        <v>1915400</v>
      </c>
      <c r="M34" s="3">
        <v>1663000</v>
      </c>
      <c r="N34" t="s">
        <v>51</v>
      </c>
      <c r="O34" t="s">
        <v>60</v>
      </c>
      <c r="P34" t="s">
        <v>31</v>
      </c>
      <c r="Q34" t="s">
        <v>32</v>
      </c>
      <c r="R34" t="s">
        <v>32</v>
      </c>
      <c r="S34" s="3">
        <v>14594000</v>
      </c>
      <c r="T34" t="str">
        <f>TEXT(tblTransactions[[#This Row],[Date]],"mmm")</f>
        <v>Feb</v>
      </c>
      <c r="U34">
        <f>MONTH(tblTransactions[[#This Row],[Date]])</f>
        <v>2</v>
      </c>
      <c r="V34" t="str">
        <f>"Q"&amp;ROUNDUP(MONTH(tblTransactions[[#This Row],[Date]])/3,0)</f>
        <v>Q1</v>
      </c>
    </row>
    <row r="35" spans="1:22" x14ac:dyDescent="0.25">
      <c r="A35" t="s">
        <v>112</v>
      </c>
      <c r="B35" s="2">
        <v>46061</v>
      </c>
      <c r="C35">
        <v>2026</v>
      </c>
      <c r="D35" t="s">
        <v>68</v>
      </c>
      <c r="E35" t="s">
        <v>556</v>
      </c>
      <c r="F35" t="s">
        <v>35</v>
      </c>
      <c r="G35" t="s">
        <v>80</v>
      </c>
      <c r="H35" t="s">
        <v>81</v>
      </c>
      <c r="I35" t="s">
        <v>42</v>
      </c>
      <c r="J35" t="s">
        <v>64</v>
      </c>
      <c r="K35" t="s">
        <v>81</v>
      </c>
      <c r="L35" s="3">
        <v>1460200</v>
      </c>
      <c r="M35" s="3">
        <v>0</v>
      </c>
      <c r="N35" t="s">
        <v>39</v>
      </c>
      <c r="O35" t="s">
        <v>52</v>
      </c>
      <c r="P35" t="s">
        <v>31</v>
      </c>
      <c r="Q35" t="s">
        <v>33</v>
      </c>
      <c r="R35" t="s">
        <v>32</v>
      </c>
      <c r="S35" s="3">
        <v>16054200</v>
      </c>
      <c r="T35" t="str">
        <f>TEXT(tblTransactions[[#This Row],[Date]],"mmm")</f>
        <v>Feb</v>
      </c>
      <c r="U35">
        <f>MONTH(tblTransactions[[#This Row],[Date]])</f>
        <v>2</v>
      </c>
      <c r="V35" t="str">
        <f>"Q"&amp;ROUNDUP(MONTH(tblTransactions[[#This Row],[Date]])/3,0)</f>
        <v>Q1</v>
      </c>
    </row>
    <row r="36" spans="1:22" x14ac:dyDescent="0.25">
      <c r="A36" t="s">
        <v>113</v>
      </c>
      <c r="B36" s="2">
        <v>46062</v>
      </c>
      <c r="C36">
        <v>2026</v>
      </c>
      <c r="D36" t="s">
        <v>42</v>
      </c>
      <c r="E36" t="s">
        <v>553</v>
      </c>
      <c r="F36" t="s">
        <v>35</v>
      </c>
      <c r="G36" t="s">
        <v>95</v>
      </c>
      <c r="H36" t="s">
        <v>96</v>
      </c>
      <c r="I36" t="s">
        <v>50</v>
      </c>
      <c r="J36" t="s">
        <v>57</v>
      </c>
      <c r="K36" t="s">
        <v>96</v>
      </c>
      <c r="L36" s="3">
        <v>4668600</v>
      </c>
      <c r="M36" s="3">
        <v>0</v>
      </c>
      <c r="N36" t="s">
        <v>58</v>
      </c>
      <c r="O36" t="s">
        <v>109</v>
      </c>
      <c r="P36" t="s">
        <v>31</v>
      </c>
      <c r="Q36" t="s">
        <v>32</v>
      </c>
      <c r="R36" t="s">
        <v>33</v>
      </c>
      <c r="S36" s="3">
        <v>20722800</v>
      </c>
      <c r="T36" t="str">
        <f>TEXT(tblTransactions[[#This Row],[Date]],"mmm")</f>
        <v>Feb</v>
      </c>
      <c r="U36">
        <f>MONTH(tblTransactions[[#This Row],[Date]])</f>
        <v>2</v>
      </c>
      <c r="V36" t="str">
        <f>"Q"&amp;ROUNDUP(MONTH(tblTransactions[[#This Row],[Date]])/3,0)</f>
        <v>Q1</v>
      </c>
    </row>
    <row r="37" spans="1:22" x14ac:dyDescent="0.25">
      <c r="A37" t="s">
        <v>114</v>
      </c>
      <c r="B37" s="2">
        <v>46063</v>
      </c>
      <c r="C37">
        <v>2026</v>
      </c>
      <c r="D37" t="s">
        <v>68</v>
      </c>
      <c r="E37" t="s">
        <v>556</v>
      </c>
      <c r="F37" t="s">
        <v>35</v>
      </c>
      <c r="G37" t="s">
        <v>95</v>
      </c>
      <c r="H37" t="s">
        <v>96</v>
      </c>
      <c r="I37" t="s">
        <v>50</v>
      </c>
      <c r="J37" t="s">
        <v>115</v>
      </c>
      <c r="K37" t="s">
        <v>96</v>
      </c>
      <c r="L37" s="3">
        <v>3202600</v>
      </c>
      <c r="M37" s="3">
        <v>0</v>
      </c>
      <c r="N37" t="s">
        <v>29</v>
      </c>
      <c r="O37" t="s">
        <v>30</v>
      </c>
      <c r="P37" t="s">
        <v>31</v>
      </c>
      <c r="Q37" t="s">
        <v>33</v>
      </c>
      <c r="R37" t="s">
        <v>33</v>
      </c>
      <c r="S37" s="3">
        <v>23925400</v>
      </c>
      <c r="T37" t="str">
        <f>TEXT(tblTransactions[[#This Row],[Date]],"mmm")</f>
        <v>Feb</v>
      </c>
      <c r="U37">
        <f>MONTH(tblTransactions[[#This Row],[Date]])</f>
        <v>2</v>
      </c>
      <c r="V37" t="str">
        <f>"Q"&amp;ROUNDUP(MONTH(tblTransactions[[#This Row],[Date]])/3,0)</f>
        <v>Q1</v>
      </c>
    </row>
    <row r="38" spans="1:22" x14ac:dyDescent="0.25">
      <c r="A38" t="s">
        <v>116</v>
      </c>
      <c r="B38" s="2">
        <v>46064</v>
      </c>
      <c r="C38">
        <v>2026</v>
      </c>
      <c r="D38" t="s">
        <v>68</v>
      </c>
      <c r="E38" t="s">
        <v>557</v>
      </c>
      <c r="F38" t="s">
        <v>24</v>
      </c>
      <c r="G38" t="s">
        <v>25</v>
      </c>
      <c r="H38" t="s">
        <v>26</v>
      </c>
      <c r="I38" t="s">
        <v>42</v>
      </c>
      <c r="J38" t="s">
        <v>87</v>
      </c>
      <c r="K38" t="s">
        <v>26</v>
      </c>
      <c r="L38" s="3">
        <v>133200</v>
      </c>
      <c r="M38" s="3">
        <v>1138700</v>
      </c>
      <c r="N38" t="s">
        <v>51</v>
      </c>
      <c r="O38" t="s">
        <v>30</v>
      </c>
      <c r="P38" t="s">
        <v>31</v>
      </c>
      <c r="Q38" t="s">
        <v>32</v>
      </c>
      <c r="R38" t="s">
        <v>33</v>
      </c>
      <c r="S38" s="3">
        <v>23792200</v>
      </c>
      <c r="T38" t="str">
        <f>TEXT(tblTransactions[[#This Row],[Date]],"mmm")</f>
        <v>Feb</v>
      </c>
      <c r="U38">
        <f>MONTH(tblTransactions[[#This Row],[Date]])</f>
        <v>2</v>
      </c>
      <c r="V38" t="str">
        <f>"Q"&amp;ROUNDUP(MONTH(tblTransactions[[#This Row],[Date]])/3,0)</f>
        <v>Q1</v>
      </c>
    </row>
    <row r="39" spans="1:22" x14ac:dyDescent="0.25">
      <c r="A39" t="s">
        <v>117</v>
      </c>
      <c r="B39" s="2">
        <v>46065</v>
      </c>
      <c r="C39">
        <v>2026</v>
      </c>
      <c r="D39" t="s">
        <v>68</v>
      </c>
      <c r="E39" t="s">
        <v>553</v>
      </c>
      <c r="F39" t="s">
        <v>24</v>
      </c>
      <c r="G39" t="s">
        <v>54</v>
      </c>
      <c r="H39" t="s">
        <v>55</v>
      </c>
      <c r="I39" t="s">
        <v>37</v>
      </c>
      <c r="J39" t="s">
        <v>38</v>
      </c>
      <c r="K39" t="s">
        <v>55</v>
      </c>
      <c r="L39" s="3">
        <v>477000</v>
      </c>
      <c r="M39" s="3">
        <v>1886300</v>
      </c>
      <c r="N39" t="s">
        <v>51</v>
      </c>
      <c r="O39" t="s">
        <v>76</v>
      </c>
      <c r="P39" t="s">
        <v>31</v>
      </c>
      <c r="Q39" t="s">
        <v>33</v>
      </c>
      <c r="R39" t="s">
        <v>33</v>
      </c>
      <c r="S39" s="3">
        <v>23315200</v>
      </c>
      <c r="T39" t="str">
        <f>TEXT(tblTransactions[[#This Row],[Date]],"mmm")</f>
        <v>Feb</v>
      </c>
      <c r="U39">
        <f>MONTH(tblTransactions[[#This Row],[Date]])</f>
        <v>2</v>
      </c>
      <c r="V39" t="str">
        <f>"Q"&amp;ROUNDUP(MONTH(tblTransactions[[#This Row],[Date]])/3,0)</f>
        <v>Q1</v>
      </c>
    </row>
    <row r="40" spans="1:22" x14ac:dyDescent="0.25">
      <c r="A40" t="s">
        <v>118</v>
      </c>
      <c r="B40" s="2">
        <v>46066</v>
      </c>
      <c r="C40">
        <v>2026</v>
      </c>
      <c r="D40" t="s">
        <v>23</v>
      </c>
      <c r="E40" t="s">
        <v>552</v>
      </c>
      <c r="F40" t="s">
        <v>24</v>
      </c>
      <c r="G40" t="s">
        <v>62</v>
      </c>
      <c r="H40" t="s">
        <v>63</v>
      </c>
      <c r="I40" t="s">
        <v>27</v>
      </c>
      <c r="J40" t="s">
        <v>38</v>
      </c>
      <c r="K40" t="s">
        <v>63</v>
      </c>
      <c r="L40" s="3">
        <v>1407600</v>
      </c>
      <c r="M40" s="3">
        <v>369200</v>
      </c>
      <c r="N40" t="s">
        <v>29</v>
      </c>
      <c r="O40" t="s">
        <v>30</v>
      </c>
      <c r="P40" t="s">
        <v>31</v>
      </c>
      <c r="Q40" t="s">
        <v>33</v>
      </c>
      <c r="R40" t="s">
        <v>32</v>
      </c>
      <c r="S40" s="3">
        <v>21907600</v>
      </c>
      <c r="T40" t="str">
        <f>TEXT(tblTransactions[[#This Row],[Date]],"mmm")</f>
        <v>Feb</v>
      </c>
      <c r="U40">
        <f>MONTH(tblTransactions[[#This Row],[Date]])</f>
        <v>2</v>
      </c>
      <c r="V40" t="str">
        <f>"Q"&amp;ROUNDUP(MONTH(tblTransactions[[#This Row],[Date]])/3,0)</f>
        <v>Q1</v>
      </c>
    </row>
    <row r="41" spans="1:22" x14ac:dyDescent="0.25">
      <c r="A41" t="s">
        <v>119</v>
      </c>
      <c r="B41" s="2">
        <v>46068</v>
      </c>
      <c r="C41">
        <v>2026</v>
      </c>
      <c r="D41" t="s">
        <v>23</v>
      </c>
      <c r="E41" t="s">
        <v>554</v>
      </c>
      <c r="F41" t="s">
        <v>24</v>
      </c>
      <c r="G41" t="s">
        <v>62</v>
      </c>
      <c r="H41" t="s">
        <v>63</v>
      </c>
      <c r="I41" t="s">
        <v>56</v>
      </c>
      <c r="J41" t="s">
        <v>28</v>
      </c>
      <c r="K41" t="s">
        <v>63</v>
      </c>
      <c r="L41" s="3">
        <v>857700</v>
      </c>
      <c r="M41" s="3">
        <v>806200</v>
      </c>
      <c r="N41" t="s">
        <v>29</v>
      </c>
      <c r="O41" t="s">
        <v>109</v>
      </c>
      <c r="P41" t="s">
        <v>31</v>
      </c>
      <c r="Q41" t="s">
        <v>32</v>
      </c>
      <c r="R41" t="s">
        <v>33</v>
      </c>
      <c r="S41" s="3">
        <v>21049900</v>
      </c>
      <c r="T41" t="str">
        <f>TEXT(tblTransactions[[#This Row],[Date]],"mmm")</f>
        <v>Feb</v>
      </c>
      <c r="U41">
        <f>MONTH(tblTransactions[[#This Row],[Date]])</f>
        <v>2</v>
      </c>
      <c r="V41" t="str">
        <f>"Q"&amp;ROUNDUP(MONTH(tblTransactions[[#This Row],[Date]])/3,0)</f>
        <v>Q1</v>
      </c>
    </row>
    <row r="42" spans="1:22" x14ac:dyDescent="0.25">
      <c r="A42" t="s">
        <v>120</v>
      </c>
      <c r="B42" s="2">
        <v>46069</v>
      </c>
      <c r="C42">
        <v>2026</v>
      </c>
      <c r="D42" t="s">
        <v>23</v>
      </c>
      <c r="E42" t="s">
        <v>553</v>
      </c>
      <c r="F42" t="s">
        <v>24</v>
      </c>
      <c r="G42" t="s">
        <v>54</v>
      </c>
      <c r="H42" t="s">
        <v>55</v>
      </c>
      <c r="I42" t="s">
        <v>42</v>
      </c>
      <c r="J42" t="s">
        <v>92</v>
      </c>
      <c r="K42" t="s">
        <v>55</v>
      </c>
      <c r="L42" s="3">
        <v>1993400</v>
      </c>
      <c r="M42" s="3">
        <v>1179600</v>
      </c>
      <c r="N42" t="s">
        <v>29</v>
      </c>
      <c r="O42" t="s">
        <v>109</v>
      </c>
      <c r="P42" t="s">
        <v>31</v>
      </c>
      <c r="Q42" t="s">
        <v>33</v>
      </c>
      <c r="R42" t="s">
        <v>33</v>
      </c>
      <c r="S42" s="3">
        <v>19056500</v>
      </c>
      <c r="T42" t="str">
        <f>TEXT(tblTransactions[[#This Row],[Date]],"mmm")</f>
        <v>Feb</v>
      </c>
      <c r="U42">
        <f>MONTH(tblTransactions[[#This Row],[Date]])</f>
        <v>2</v>
      </c>
      <c r="V42" t="str">
        <f>"Q"&amp;ROUNDUP(MONTH(tblTransactions[[#This Row],[Date]])/3,0)</f>
        <v>Q1</v>
      </c>
    </row>
    <row r="43" spans="1:22" x14ac:dyDescent="0.25">
      <c r="A43" t="s">
        <v>121</v>
      </c>
      <c r="B43" s="2">
        <v>46070</v>
      </c>
      <c r="C43">
        <v>2026</v>
      </c>
      <c r="D43" t="s">
        <v>42</v>
      </c>
      <c r="E43" t="s">
        <v>557</v>
      </c>
      <c r="F43" t="s">
        <v>35</v>
      </c>
      <c r="G43" t="s">
        <v>95</v>
      </c>
      <c r="H43" t="s">
        <v>96</v>
      </c>
      <c r="I43" t="s">
        <v>45</v>
      </c>
      <c r="J43" t="s">
        <v>115</v>
      </c>
      <c r="K43" t="s">
        <v>96</v>
      </c>
      <c r="L43" s="3">
        <v>4167700</v>
      </c>
      <c r="M43" s="3">
        <v>0</v>
      </c>
      <c r="N43" t="s">
        <v>51</v>
      </c>
      <c r="O43" t="s">
        <v>72</v>
      </c>
      <c r="P43" t="s">
        <v>31</v>
      </c>
      <c r="Q43" t="s">
        <v>32</v>
      </c>
      <c r="R43" t="s">
        <v>33</v>
      </c>
      <c r="S43" s="3">
        <v>23224200</v>
      </c>
      <c r="T43" t="str">
        <f>TEXT(tblTransactions[[#This Row],[Date]],"mmm")</f>
        <v>Feb</v>
      </c>
      <c r="U43">
        <f>MONTH(tblTransactions[[#This Row],[Date]])</f>
        <v>2</v>
      </c>
      <c r="V43" t="str">
        <f>"Q"&amp;ROUNDUP(MONTH(tblTransactions[[#This Row],[Date]])/3,0)</f>
        <v>Q1</v>
      </c>
    </row>
    <row r="44" spans="1:22" x14ac:dyDescent="0.25">
      <c r="A44" t="s">
        <v>122</v>
      </c>
      <c r="B44" s="2">
        <v>46071</v>
      </c>
      <c r="C44">
        <v>2026</v>
      </c>
      <c r="D44" t="s">
        <v>68</v>
      </c>
      <c r="E44" t="s">
        <v>556</v>
      </c>
      <c r="F44" t="s">
        <v>24</v>
      </c>
      <c r="G44" t="s">
        <v>43</v>
      </c>
      <c r="H44" t="s">
        <v>44</v>
      </c>
      <c r="I44" t="s">
        <v>42</v>
      </c>
      <c r="J44" t="s">
        <v>38</v>
      </c>
      <c r="K44" t="s">
        <v>44</v>
      </c>
      <c r="L44" s="3">
        <v>768900</v>
      </c>
      <c r="M44" s="3">
        <v>688300</v>
      </c>
      <c r="N44" t="s">
        <v>51</v>
      </c>
      <c r="O44" t="s">
        <v>47</v>
      </c>
      <c r="P44" t="s">
        <v>31</v>
      </c>
      <c r="Q44" t="s">
        <v>32</v>
      </c>
      <c r="R44" t="s">
        <v>33</v>
      </c>
      <c r="S44" s="3">
        <v>22455300</v>
      </c>
      <c r="T44" t="str">
        <f>TEXT(tblTransactions[[#This Row],[Date]],"mmm")</f>
        <v>Feb</v>
      </c>
      <c r="U44">
        <f>MONTH(tblTransactions[[#This Row],[Date]])</f>
        <v>2</v>
      </c>
      <c r="V44" t="str">
        <f>"Q"&amp;ROUNDUP(MONTH(tblTransactions[[#This Row],[Date]])/3,0)</f>
        <v>Q1</v>
      </c>
    </row>
    <row r="45" spans="1:22" x14ac:dyDescent="0.25">
      <c r="A45" t="s">
        <v>123</v>
      </c>
      <c r="B45" s="2">
        <v>46072</v>
      </c>
      <c r="C45">
        <v>2026</v>
      </c>
      <c r="D45" t="s">
        <v>42</v>
      </c>
      <c r="E45" t="s">
        <v>557</v>
      </c>
      <c r="F45" t="s">
        <v>24</v>
      </c>
      <c r="G45" t="s">
        <v>25</v>
      </c>
      <c r="H45" t="s">
        <v>26</v>
      </c>
      <c r="I45" t="s">
        <v>45</v>
      </c>
      <c r="J45" t="s">
        <v>78</v>
      </c>
      <c r="K45" t="s">
        <v>26</v>
      </c>
      <c r="L45" s="3">
        <v>1017100</v>
      </c>
      <c r="M45" s="3">
        <v>164100</v>
      </c>
      <c r="N45" t="s">
        <v>51</v>
      </c>
      <c r="O45" t="s">
        <v>40</v>
      </c>
      <c r="P45" t="s">
        <v>31</v>
      </c>
      <c r="Q45" t="s">
        <v>32</v>
      </c>
      <c r="R45" t="s">
        <v>33</v>
      </c>
      <c r="S45" s="3">
        <v>21438200</v>
      </c>
      <c r="T45" t="str">
        <f>TEXT(tblTransactions[[#This Row],[Date]],"mmm")</f>
        <v>Feb</v>
      </c>
      <c r="U45">
        <f>MONTH(tblTransactions[[#This Row],[Date]])</f>
        <v>2</v>
      </c>
      <c r="V45" t="str">
        <f>"Q"&amp;ROUNDUP(MONTH(tblTransactions[[#This Row],[Date]])/3,0)</f>
        <v>Q1</v>
      </c>
    </row>
    <row r="46" spans="1:22" x14ac:dyDescent="0.25">
      <c r="A46" t="s">
        <v>124</v>
      </c>
      <c r="B46" s="2">
        <v>46076</v>
      </c>
      <c r="C46">
        <v>2026</v>
      </c>
      <c r="D46" t="s">
        <v>23</v>
      </c>
      <c r="E46" t="s">
        <v>552</v>
      </c>
      <c r="F46" t="s">
        <v>24</v>
      </c>
      <c r="G46" t="s">
        <v>74</v>
      </c>
      <c r="H46" t="s">
        <v>75</v>
      </c>
      <c r="I46" t="s">
        <v>42</v>
      </c>
      <c r="J46" t="s">
        <v>38</v>
      </c>
      <c r="K46" t="s">
        <v>75</v>
      </c>
      <c r="L46" s="3">
        <v>1658100</v>
      </c>
      <c r="M46" s="3">
        <v>500100</v>
      </c>
      <c r="N46" t="s">
        <v>51</v>
      </c>
      <c r="O46" t="s">
        <v>98</v>
      </c>
      <c r="P46" t="s">
        <v>31</v>
      </c>
      <c r="Q46" t="s">
        <v>33</v>
      </c>
      <c r="R46" t="s">
        <v>33</v>
      </c>
      <c r="S46" s="3">
        <v>19780100</v>
      </c>
      <c r="T46" t="str">
        <f>TEXT(tblTransactions[[#This Row],[Date]],"mmm")</f>
        <v>Feb</v>
      </c>
      <c r="U46">
        <f>MONTH(tblTransactions[[#This Row],[Date]])</f>
        <v>2</v>
      </c>
      <c r="V46" t="str">
        <f>"Q"&amp;ROUNDUP(MONTH(tblTransactions[[#This Row],[Date]])/3,0)</f>
        <v>Q1</v>
      </c>
    </row>
    <row r="47" spans="1:22" x14ac:dyDescent="0.25">
      <c r="A47" t="s">
        <v>125</v>
      </c>
      <c r="B47" s="2">
        <v>46077</v>
      </c>
      <c r="C47">
        <v>2026</v>
      </c>
      <c r="D47" t="s">
        <v>42</v>
      </c>
      <c r="E47" t="s">
        <v>557</v>
      </c>
      <c r="F47" t="s">
        <v>24</v>
      </c>
      <c r="G47" t="s">
        <v>107</v>
      </c>
      <c r="H47" t="s">
        <v>108</v>
      </c>
      <c r="I47" t="s">
        <v>50</v>
      </c>
      <c r="J47" t="s">
        <v>46</v>
      </c>
      <c r="K47" t="s">
        <v>108</v>
      </c>
      <c r="L47" s="3">
        <v>1248000</v>
      </c>
      <c r="M47" s="3">
        <v>334800</v>
      </c>
      <c r="N47" t="s">
        <v>29</v>
      </c>
      <c r="O47" t="s">
        <v>66</v>
      </c>
      <c r="P47" t="s">
        <v>31</v>
      </c>
      <c r="Q47" t="s">
        <v>33</v>
      </c>
      <c r="R47" t="s">
        <v>33</v>
      </c>
      <c r="S47" s="3">
        <v>18532100</v>
      </c>
      <c r="T47" t="str">
        <f>TEXT(tblTransactions[[#This Row],[Date]],"mmm")</f>
        <v>Feb</v>
      </c>
      <c r="U47">
        <f>MONTH(tblTransactions[[#This Row],[Date]])</f>
        <v>2</v>
      </c>
      <c r="V47" t="str">
        <f>"Q"&amp;ROUNDUP(MONTH(tblTransactions[[#This Row],[Date]])/3,0)</f>
        <v>Q1</v>
      </c>
    </row>
    <row r="48" spans="1:22" x14ac:dyDescent="0.25">
      <c r="A48" t="s">
        <v>126</v>
      </c>
      <c r="B48" s="2">
        <v>46078</v>
      </c>
      <c r="C48">
        <v>2026</v>
      </c>
      <c r="D48" t="s">
        <v>42</v>
      </c>
      <c r="E48" t="s">
        <v>555</v>
      </c>
      <c r="F48" t="s">
        <v>24</v>
      </c>
      <c r="G48" t="s">
        <v>107</v>
      </c>
      <c r="H48" t="s">
        <v>108</v>
      </c>
      <c r="I48" t="s">
        <v>45</v>
      </c>
      <c r="J48" t="s">
        <v>115</v>
      </c>
      <c r="K48" t="s">
        <v>108</v>
      </c>
      <c r="L48" s="3">
        <v>1279500</v>
      </c>
      <c r="M48" s="3">
        <v>1583100</v>
      </c>
      <c r="N48" t="s">
        <v>39</v>
      </c>
      <c r="O48" t="s">
        <v>30</v>
      </c>
      <c r="P48" t="s">
        <v>31</v>
      </c>
      <c r="Q48" t="s">
        <v>33</v>
      </c>
      <c r="R48" t="s">
        <v>33</v>
      </c>
      <c r="S48" s="3">
        <v>17252600</v>
      </c>
      <c r="T48" t="str">
        <f>TEXT(tblTransactions[[#This Row],[Date]],"mmm")</f>
        <v>Feb</v>
      </c>
      <c r="U48">
        <f>MONTH(tblTransactions[[#This Row],[Date]])</f>
        <v>2</v>
      </c>
      <c r="V48" t="str">
        <f>"Q"&amp;ROUNDUP(MONTH(tblTransactions[[#This Row],[Date]])/3,0)</f>
        <v>Q1</v>
      </c>
    </row>
    <row r="49" spans="1:22" x14ac:dyDescent="0.25">
      <c r="A49" t="s">
        <v>127</v>
      </c>
      <c r="B49" s="2">
        <v>46079</v>
      </c>
      <c r="C49">
        <v>2026</v>
      </c>
      <c r="D49" t="s">
        <v>68</v>
      </c>
      <c r="E49" t="s">
        <v>553</v>
      </c>
      <c r="F49" t="s">
        <v>24</v>
      </c>
      <c r="G49" t="s">
        <v>43</v>
      </c>
      <c r="H49" t="s">
        <v>44</v>
      </c>
      <c r="I49" t="s">
        <v>50</v>
      </c>
      <c r="J49" t="s">
        <v>115</v>
      </c>
      <c r="K49" t="s">
        <v>44</v>
      </c>
      <c r="L49" s="3">
        <v>365500</v>
      </c>
      <c r="M49" s="3">
        <v>1955600</v>
      </c>
      <c r="N49" t="s">
        <v>39</v>
      </c>
      <c r="O49" t="s">
        <v>76</v>
      </c>
      <c r="P49" t="s">
        <v>31</v>
      </c>
      <c r="Q49" t="s">
        <v>32</v>
      </c>
      <c r="R49" t="s">
        <v>33</v>
      </c>
      <c r="S49" s="3">
        <v>16887100</v>
      </c>
      <c r="T49" t="str">
        <f>TEXT(tblTransactions[[#This Row],[Date]],"mmm")</f>
        <v>Feb</v>
      </c>
      <c r="U49">
        <f>MONTH(tblTransactions[[#This Row],[Date]])</f>
        <v>2</v>
      </c>
      <c r="V49" t="str">
        <f>"Q"&amp;ROUNDUP(MONTH(tblTransactions[[#This Row],[Date]])/3,0)</f>
        <v>Q1</v>
      </c>
    </row>
    <row r="50" spans="1:22" x14ac:dyDescent="0.25">
      <c r="A50" t="s">
        <v>128</v>
      </c>
      <c r="B50" s="2">
        <v>46080</v>
      </c>
      <c r="C50">
        <v>2026</v>
      </c>
      <c r="D50" t="s">
        <v>23</v>
      </c>
      <c r="E50" t="s">
        <v>556</v>
      </c>
      <c r="F50" t="s">
        <v>24</v>
      </c>
      <c r="G50" t="s">
        <v>107</v>
      </c>
      <c r="H50" t="s">
        <v>108</v>
      </c>
      <c r="I50" t="s">
        <v>37</v>
      </c>
      <c r="J50" t="s">
        <v>28</v>
      </c>
      <c r="K50" t="s">
        <v>108</v>
      </c>
      <c r="L50" s="3">
        <v>1087000</v>
      </c>
      <c r="M50" s="3">
        <v>1000200</v>
      </c>
      <c r="N50" t="s">
        <v>29</v>
      </c>
      <c r="O50" t="s">
        <v>30</v>
      </c>
      <c r="P50" t="s">
        <v>31</v>
      </c>
      <c r="Q50" t="s">
        <v>33</v>
      </c>
      <c r="R50" t="s">
        <v>33</v>
      </c>
      <c r="S50" s="3">
        <v>15800100</v>
      </c>
      <c r="T50" t="str">
        <f>TEXT(tblTransactions[[#This Row],[Date]],"mmm")</f>
        <v>Feb</v>
      </c>
      <c r="U50">
        <f>MONTH(tblTransactions[[#This Row],[Date]])</f>
        <v>2</v>
      </c>
      <c r="V50" t="str">
        <f>"Q"&amp;ROUNDUP(MONTH(tblTransactions[[#This Row],[Date]])/3,0)</f>
        <v>Q1</v>
      </c>
    </row>
    <row r="51" spans="1:22" x14ac:dyDescent="0.25">
      <c r="A51" t="s">
        <v>129</v>
      </c>
      <c r="B51" s="2">
        <v>46081</v>
      </c>
      <c r="C51">
        <v>2026</v>
      </c>
      <c r="D51" t="s">
        <v>68</v>
      </c>
      <c r="E51" t="s">
        <v>557</v>
      </c>
      <c r="F51" t="s">
        <v>24</v>
      </c>
      <c r="G51" t="s">
        <v>25</v>
      </c>
      <c r="H51" t="s">
        <v>26</v>
      </c>
      <c r="I51" t="s">
        <v>50</v>
      </c>
      <c r="J51" t="s">
        <v>64</v>
      </c>
      <c r="K51" t="s">
        <v>26</v>
      </c>
      <c r="L51" s="3">
        <v>775800</v>
      </c>
      <c r="M51" s="3">
        <v>833700</v>
      </c>
      <c r="N51" t="s">
        <v>51</v>
      </c>
      <c r="O51" t="s">
        <v>66</v>
      </c>
      <c r="P51" t="s">
        <v>31</v>
      </c>
      <c r="Q51" t="s">
        <v>33</v>
      </c>
      <c r="R51" t="s">
        <v>32</v>
      </c>
      <c r="S51" s="3">
        <v>15024300</v>
      </c>
      <c r="T51" t="str">
        <f>TEXT(tblTransactions[[#This Row],[Date]],"mmm")</f>
        <v>Feb</v>
      </c>
      <c r="U51">
        <f>MONTH(tblTransactions[[#This Row],[Date]])</f>
        <v>2</v>
      </c>
      <c r="V51" t="str">
        <f>"Q"&amp;ROUNDUP(MONTH(tblTransactions[[#This Row],[Date]])/3,0)</f>
        <v>Q1</v>
      </c>
    </row>
    <row r="52" spans="1:22" x14ac:dyDescent="0.25">
      <c r="A52" t="s">
        <v>130</v>
      </c>
      <c r="B52" s="2">
        <v>46082</v>
      </c>
      <c r="C52">
        <v>2026</v>
      </c>
      <c r="D52" t="s">
        <v>68</v>
      </c>
      <c r="E52" t="s">
        <v>557</v>
      </c>
      <c r="F52" t="s">
        <v>24</v>
      </c>
      <c r="G52" t="s">
        <v>70</v>
      </c>
      <c r="H52" t="s">
        <v>71</v>
      </c>
      <c r="I52" t="s">
        <v>27</v>
      </c>
      <c r="J52" t="s">
        <v>57</v>
      </c>
      <c r="K52" t="s">
        <v>71</v>
      </c>
      <c r="L52" s="3">
        <v>423100</v>
      </c>
      <c r="M52" s="3">
        <v>347500</v>
      </c>
      <c r="N52" t="s">
        <v>39</v>
      </c>
      <c r="O52" t="s">
        <v>47</v>
      </c>
      <c r="P52" t="s">
        <v>31</v>
      </c>
      <c r="Q52" t="s">
        <v>32</v>
      </c>
      <c r="R52" t="s">
        <v>33</v>
      </c>
      <c r="S52" s="3">
        <v>14601200</v>
      </c>
      <c r="T52" t="str">
        <f>TEXT(tblTransactions[[#This Row],[Date]],"mmm")</f>
        <v>Mar</v>
      </c>
      <c r="U52">
        <f>MONTH(tblTransactions[[#This Row],[Date]])</f>
        <v>3</v>
      </c>
      <c r="V52" t="str">
        <f>"Q"&amp;ROUNDUP(MONTH(tblTransactions[[#This Row],[Date]])/3,0)</f>
        <v>Q1</v>
      </c>
    </row>
    <row r="53" spans="1:22" x14ac:dyDescent="0.25">
      <c r="A53" t="s">
        <v>131</v>
      </c>
      <c r="B53" s="2">
        <v>46083</v>
      </c>
      <c r="C53">
        <v>2026</v>
      </c>
      <c r="D53" t="s">
        <v>23</v>
      </c>
      <c r="E53" t="s">
        <v>555</v>
      </c>
      <c r="F53" t="s">
        <v>24</v>
      </c>
      <c r="G53" t="s">
        <v>43</v>
      </c>
      <c r="H53" t="s">
        <v>44</v>
      </c>
      <c r="I53" t="s">
        <v>50</v>
      </c>
      <c r="J53" t="s">
        <v>78</v>
      </c>
      <c r="K53" t="s">
        <v>44</v>
      </c>
      <c r="L53" s="3">
        <v>130200</v>
      </c>
      <c r="M53" s="3">
        <v>1431100</v>
      </c>
      <c r="N53" t="s">
        <v>58</v>
      </c>
      <c r="O53" t="s">
        <v>72</v>
      </c>
      <c r="P53" t="s">
        <v>31</v>
      </c>
      <c r="Q53" t="s">
        <v>33</v>
      </c>
      <c r="R53" t="s">
        <v>33</v>
      </c>
      <c r="S53" s="3">
        <v>14471000</v>
      </c>
      <c r="T53" t="str">
        <f>TEXT(tblTransactions[[#This Row],[Date]],"mmm")</f>
        <v>Mar</v>
      </c>
      <c r="U53">
        <f>MONTH(tblTransactions[[#This Row],[Date]])</f>
        <v>3</v>
      </c>
      <c r="V53" t="str">
        <f>"Q"&amp;ROUNDUP(MONTH(tblTransactions[[#This Row],[Date]])/3,0)</f>
        <v>Q1</v>
      </c>
    </row>
    <row r="54" spans="1:22" x14ac:dyDescent="0.25">
      <c r="A54" t="s">
        <v>132</v>
      </c>
      <c r="B54" s="2">
        <v>46084</v>
      </c>
      <c r="C54">
        <v>2026</v>
      </c>
      <c r="D54" t="s">
        <v>68</v>
      </c>
      <c r="E54" t="s">
        <v>553</v>
      </c>
      <c r="F54" t="s">
        <v>24</v>
      </c>
      <c r="G54" t="s">
        <v>25</v>
      </c>
      <c r="H54" t="s">
        <v>26</v>
      </c>
      <c r="I54" t="s">
        <v>56</v>
      </c>
      <c r="J54" t="s">
        <v>115</v>
      </c>
      <c r="K54" t="s">
        <v>26</v>
      </c>
      <c r="L54" s="3">
        <v>1681700</v>
      </c>
      <c r="M54" s="3">
        <v>1435300</v>
      </c>
      <c r="N54" t="s">
        <v>39</v>
      </c>
      <c r="O54" t="s">
        <v>109</v>
      </c>
      <c r="P54" t="s">
        <v>31</v>
      </c>
      <c r="Q54" t="s">
        <v>33</v>
      </c>
      <c r="R54" t="s">
        <v>33</v>
      </c>
      <c r="S54" s="3">
        <v>12789300</v>
      </c>
      <c r="T54" t="str">
        <f>TEXT(tblTransactions[[#This Row],[Date]],"mmm")</f>
        <v>Mar</v>
      </c>
      <c r="U54">
        <f>MONTH(tblTransactions[[#This Row],[Date]])</f>
        <v>3</v>
      </c>
      <c r="V54" t="str">
        <f>"Q"&amp;ROUNDUP(MONTH(tblTransactions[[#This Row],[Date]])/3,0)</f>
        <v>Q1</v>
      </c>
    </row>
    <row r="55" spans="1:22" x14ac:dyDescent="0.25">
      <c r="A55" t="s">
        <v>133</v>
      </c>
      <c r="B55" s="2">
        <v>46085</v>
      </c>
      <c r="C55">
        <v>2026</v>
      </c>
      <c r="D55" t="s">
        <v>68</v>
      </c>
      <c r="E55" t="s">
        <v>552</v>
      </c>
      <c r="F55" t="s">
        <v>24</v>
      </c>
      <c r="G55" t="s">
        <v>25</v>
      </c>
      <c r="H55" t="s">
        <v>26</v>
      </c>
      <c r="I55" t="s">
        <v>37</v>
      </c>
      <c r="J55" t="s">
        <v>64</v>
      </c>
      <c r="K55" t="s">
        <v>26</v>
      </c>
      <c r="L55" s="3">
        <v>1148300</v>
      </c>
      <c r="M55" s="3">
        <v>390400</v>
      </c>
      <c r="N55" t="s">
        <v>58</v>
      </c>
      <c r="O55" t="s">
        <v>72</v>
      </c>
      <c r="P55" t="s">
        <v>31</v>
      </c>
      <c r="Q55" t="s">
        <v>32</v>
      </c>
      <c r="R55" t="s">
        <v>33</v>
      </c>
      <c r="S55" s="3">
        <v>11641000</v>
      </c>
      <c r="T55" t="str">
        <f>TEXT(tblTransactions[[#This Row],[Date]],"mmm")</f>
        <v>Mar</v>
      </c>
      <c r="U55">
        <f>MONTH(tblTransactions[[#This Row],[Date]])</f>
        <v>3</v>
      </c>
      <c r="V55" t="str">
        <f>"Q"&amp;ROUNDUP(MONTH(tblTransactions[[#This Row],[Date]])/3,0)</f>
        <v>Q1</v>
      </c>
    </row>
    <row r="56" spans="1:22" x14ac:dyDescent="0.25">
      <c r="A56" t="s">
        <v>134</v>
      </c>
      <c r="B56" s="2">
        <v>46086</v>
      </c>
      <c r="C56">
        <v>2026</v>
      </c>
      <c r="D56" t="s">
        <v>68</v>
      </c>
      <c r="E56" t="s">
        <v>556</v>
      </c>
      <c r="F56" t="s">
        <v>24</v>
      </c>
      <c r="G56" t="s">
        <v>43</v>
      </c>
      <c r="H56" t="s">
        <v>44</v>
      </c>
      <c r="I56" t="s">
        <v>56</v>
      </c>
      <c r="J56" t="s">
        <v>87</v>
      </c>
      <c r="K56" t="s">
        <v>44</v>
      </c>
      <c r="L56" s="3">
        <v>1186300</v>
      </c>
      <c r="M56" s="3">
        <v>268100</v>
      </c>
      <c r="N56" t="s">
        <v>58</v>
      </c>
      <c r="O56" t="s">
        <v>52</v>
      </c>
      <c r="P56" t="s">
        <v>31</v>
      </c>
      <c r="Q56" t="s">
        <v>33</v>
      </c>
      <c r="R56" t="s">
        <v>33</v>
      </c>
      <c r="S56" s="3">
        <v>10454700</v>
      </c>
      <c r="T56" t="str">
        <f>TEXT(tblTransactions[[#This Row],[Date]],"mmm")</f>
        <v>Mar</v>
      </c>
      <c r="U56">
        <f>MONTH(tblTransactions[[#This Row],[Date]])</f>
        <v>3</v>
      </c>
      <c r="V56" t="str">
        <f>"Q"&amp;ROUNDUP(MONTH(tblTransactions[[#This Row],[Date]])/3,0)</f>
        <v>Q1</v>
      </c>
    </row>
    <row r="57" spans="1:22" x14ac:dyDescent="0.25">
      <c r="A57" t="s">
        <v>135</v>
      </c>
      <c r="B57" s="2">
        <v>46087</v>
      </c>
      <c r="C57">
        <v>2026</v>
      </c>
      <c r="D57" t="s">
        <v>23</v>
      </c>
      <c r="E57" t="s">
        <v>557</v>
      </c>
      <c r="F57" t="s">
        <v>24</v>
      </c>
      <c r="G57" t="s">
        <v>101</v>
      </c>
      <c r="H57" t="s">
        <v>102</v>
      </c>
      <c r="I57" t="s">
        <v>37</v>
      </c>
      <c r="J57" t="s">
        <v>57</v>
      </c>
      <c r="K57" t="s">
        <v>102</v>
      </c>
      <c r="L57" s="3">
        <v>84900</v>
      </c>
      <c r="M57" s="3">
        <v>1494300</v>
      </c>
      <c r="N57" t="s">
        <v>51</v>
      </c>
      <c r="O57" t="s">
        <v>30</v>
      </c>
      <c r="P57" t="s">
        <v>31</v>
      </c>
      <c r="Q57" t="s">
        <v>33</v>
      </c>
      <c r="R57" t="s">
        <v>33</v>
      </c>
      <c r="S57" s="3">
        <v>10369800</v>
      </c>
      <c r="T57" t="str">
        <f>TEXT(tblTransactions[[#This Row],[Date]],"mmm")</f>
        <v>Mar</v>
      </c>
      <c r="U57">
        <f>MONTH(tblTransactions[[#This Row],[Date]])</f>
        <v>3</v>
      </c>
      <c r="V57" t="str">
        <f>"Q"&amp;ROUNDUP(MONTH(tblTransactions[[#This Row],[Date]])/3,0)</f>
        <v>Q1</v>
      </c>
    </row>
    <row r="58" spans="1:22" x14ac:dyDescent="0.25">
      <c r="A58" t="s">
        <v>136</v>
      </c>
      <c r="B58" s="2">
        <v>46088</v>
      </c>
      <c r="C58">
        <v>2026</v>
      </c>
      <c r="D58" t="s">
        <v>42</v>
      </c>
      <c r="E58" t="s">
        <v>555</v>
      </c>
      <c r="F58" t="s">
        <v>24</v>
      </c>
      <c r="G58" t="s">
        <v>101</v>
      </c>
      <c r="H58" t="s">
        <v>102</v>
      </c>
      <c r="I58" t="s">
        <v>50</v>
      </c>
      <c r="J58" t="s">
        <v>115</v>
      </c>
      <c r="K58" t="s">
        <v>102</v>
      </c>
      <c r="L58" s="3">
        <v>487500</v>
      </c>
      <c r="M58" s="3">
        <v>1923000</v>
      </c>
      <c r="N58" t="s">
        <v>29</v>
      </c>
      <c r="O58" t="s">
        <v>40</v>
      </c>
      <c r="P58" t="s">
        <v>31</v>
      </c>
      <c r="Q58" t="s">
        <v>32</v>
      </c>
      <c r="R58" t="s">
        <v>33</v>
      </c>
      <c r="S58" s="3">
        <v>9882300</v>
      </c>
      <c r="T58" t="str">
        <f>TEXT(tblTransactions[[#This Row],[Date]],"mmm")</f>
        <v>Mar</v>
      </c>
      <c r="U58">
        <f>MONTH(tblTransactions[[#This Row],[Date]])</f>
        <v>3</v>
      </c>
      <c r="V58" t="str">
        <f>"Q"&amp;ROUNDUP(MONTH(tblTransactions[[#This Row],[Date]])/3,0)</f>
        <v>Q1</v>
      </c>
    </row>
    <row r="59" spans="1:22" x14ac:dyDescent="0.25">
      <c r="A59" t="s">
        <v>137</v>
      </c>
      <c r="B59" s="2">
        <v>46089</v>
      </c>
      <c r="C59">
        <v>2026</v>
      </c>
      <c r="D59" t="s">
        <v>23</v>
      </c>
      <c r="E59" t="s">
        <v>556</v>
      </c>
      <c r="F59" t="s">
        <v>35</v>
      </c>
      <c r="G59" t="s">
        <v>80</v>
      </c>
      <c r="H59" t="s">
        <v>81</v>
      </c>
      <c r="I59" t="s">
        <v>42</v>
      </c>
      <c r="J59" t="s">
        <v>92</v>
      </c>
      <c r="K59" t="s">
        <v>81</v>
      </c>
      <c r="L59" s="3">
        <v>4526900</v>
      </c>
      <c r="M59" s="3">
        <v>0</v>
      </c>
      <c r="N59" t="s">
        <v>51</v>
      </c>
      <c r="O59" t="s">
        <v>52</v>
      </c>
      <c r="P59" t="s">
        <v>31</v>
      </c>
      <c r="Q59" t="s">
        <v>33</v>
      </c>
      <c r="R59" t="s">
        <v>33</v>
      </c>
      <c r="S59" s="3">
        <v>14409200</v>
      </c>
      <c r="T59" t="str">
        <f>TEXT(tblTransactions[[#This Row],[Date]],"mmm")</f>
        <v>Mar</v>
      </c>
      <c r="U59">
        <f>MONTH(tblTransactions[[#This Row],[Date]])</f>
        <v>3</v>
      </c>
      <c r="V59" t="str">
        <f>"Q"&amp;ROUNDUP(MONTH(tblTransactions[[#This Row],[Date]])/3,0)</f>
        <v>Q1</v>
      </c>
    </row>
    <row r="60" spans="1:22" x14ac:dyDescent="0.25">
      <c r="A60" t="s">
        <v>138</v>
      </c>
      <c r="B60" s="2">
        <v>46090</v>
      </c>
      <c r="C60">
        <v>2026</v>
      </c>
      <c r="D60" t="s">
        <v>23</v>
      </c>
      <c r="E60" t="s">
        <v>557</v>
      </c>
      <c r="F60" t="s">
        <v>24</v>
      </c>
      <c r="G60" t="s">
        <v>43</v>
      </c>
      <c r="H60" t="s">
        <v>44</v>
      </c>
      <c r="I60" t="s">
        <v>37</v>
      </c>
      <c r="J60" t="s">
        <v>78</v>
      </c>
      <c r="K60" t="s">
        <v>44</v>
      </c>
      <c r="L60" s="3">
        <v>1152700</v>
      </c>
      <c r="M60" s="3">
        <v>296900</v>
      </c>
      <c r="N60" t="s">
        <v>58</v>
      </c>
      <c r="O60" t="s">
        <v>47</v>
      </c>
      <c r="P60" t="s">
        <v>31</v>
      </c>
      <c r="Q60" t="s">
        <v>32</v>
      </c>
      <c r="R60" t="s">
        <v>33</v>
      </c>
      <c r="S60" s="3">
        <v>13256500</v>
      </c>
      <c r="T60" t="str">
        <f>TEXT(tblTransactions[[#This Row],[Date]],"mmm")</f>
        <v>Mar</v>
      </c>
      <c r="U60">
        <f>MONTH(tblTransactions[[#This Row],[Date]])</f>
        <v>3</v>
      </c>
      <c r="V60" t="str">
        <f>"Q"&amp;ROUNDUP(MONTH(tblTransactions[[#This Row],[Date]])/3,0)</f>
        <v>Q1</v>
      </c>
    </row>
    <row r="61" spans="1:22" x14ac:dyDescent="0.25">
      <c r="A61" t="s">
        <v>139</v>
      </c>
      <c r="B61" s="2">
        <v>46091</v>
      </c>
      <c r="C61">
        <v>2026</v>
      </c>
      <c r="D61" t="s">
        <v>42</v>
      </c>
      <c r="E61" t="s">
        <v>556</v>
      </c>
      <c r="F61" t="s">
        <v>24</v>
      </c>
      <c r="G61" t="s">
        <v>101</v>
      </c>
      <c r="H61" t="s">
        <v>102</v>
      </c>
      <c r="I61" t="s">
        <v>50</v>
      </c>
      <c r="J61" t="s">
        <v>28</v>
      </c>
      <c r="K61" t="s">
        <v>102</v>
      </c>
      <c r="L61" s="3">
        <v>1618400</v>
      </c>
      <c r="M61" s="3">
        <v>157300</v>
      </c>
      <c r="N61" t="s">
        <v>51</v>
      </c>
      <c r="O61" t="s">
        <v>30</v>
      </c>
      <c r="P61" t="s">
        <v>31</v>
      </c>
      <c r="Q61" t="s">
        <v>33</v>
      </c>
      <c r="R61" t="s">
        <v>33</v>
      </c>
      <c r="S61" s="3">
        <v>11638100</v>
      </c>
      <c r="T61" t="str">
        <f>TEXT(tblTransactions[[#This Row],[Date]],"mmm")</f>
        <v>Mar</v>
      </c>
      <c r="U61">
        <f>MONTH(tblTransactions[[#This Row],[Date]])</f>
        <v>3</v>
      </c>
      <c r="V61" t="str">
        <f>"Q"&amp;ROUNDUP(MONTH(tblTransactions[[#This Row],[Date]])/3,0)</f>
        <v>Q1</v>
      </c>
    </row>
    <row r="62" spans="1:22" x14ac:dyDescent="0.25">
      <c r="A62" t="s">
        <v>140</v>
      </c>
      <c r="B62" s="2">
        <v>46092</v>
      </c>
      <c r="C62">
        <v>2026</v>
      </c>
      <c r="D62" t="s">
        <v>23</v>
      </c>
      <c r="E62" t="s">
        <v>557</v>
      </c>
      <c r="F62" t="s">
        <v>35</v>
      </c>
      <c r="G62" t="s">
        <v>49</v>
      </c>
      <c r="H62" t="s">
        <v>49</v>
      </c>
      <c r="I62" t="s">
        <v>37</v>
      </c>
      <c r="J62" t="s">
        <v>38</v>
      </c>
      <c r="K62" t="s">
        <v>49</v>
      </c>
      <c r="L62" s="3">
        <v>274400</v>
      </c>
      <c r="M62" s="3">
        <v>0</v>
      </c>
      <c r="N62" t="s">
        <v>58</v>
      </c>
      <c r="O62" t="s">
        <v>52</v>
      </c>
      <c r="P62" t="s">
        <v>31</v>
      </c>
      <c r="Q62" t="s">
        <v>32</v>
      </c>
      <c r="R62" t="s">
        <v>33</v>
      </c>
      <c r="S62" s="3">
        <v>11912500</v>
      </c>
      <c r="T62" t="str">
        <f>TEXT(tblTransactions[[#This Row],[Date]],"mmm")</f>
        <v>Mar</v>
      </c>
      <c r="U62">
        <f>MONTH(tblTransactions[[#This Row],[Date]])</f>
        <v>3</v>
      </c>
      <c r="V62" t="str">
        <f>"Q"&amp;ROUNDUP(MONTH(tblTransactions[[#This Row],[Date]])/3,0)</f>
        <v>Q1</v>
      </c>
    </row>
    <row r="63" spans="1:22" x14ac:dyDescent="0.25">
      <c r="A63" t="s">
        <v>141</v>
      </c>
      <c r="B63" s="2">
        <v>46093</v>
      </c>
      <c r="C63">
        <v>2026</v>
      </c>
      <c r="D63" t="s">
        <v>68</v>
      </c>
      <c r="E63" t="s">
        <v>553</v>
      </c>
      <c r="F63" t="s">
        <v>24</v>
      </c>
      <c r="G63" t="s">
        <v>54</v>
      </c>
      <c r="H63" t="s">
        <v>55</v>
      </c>
      <c r="I63" t="s">
        <v>45</v>
      </c>
      <c r="J63" t="s">
        <v>28</v>
      </c>
      <c r="K63" t="s">
        <v>55</v>
      </c>
      <c r="L63" s="3">
        <v>577000</v>
      </c>
      <c r="M63" s="3">
        <v>1521600</v>
      </c>
      <c r="N63" t="s">
        <v>39</v>
      </c>
      <c r="O63" t="s">
        <v>30</v>
      </c>
      <c r="P63" t="s">
        <v>31</v>
      </c>
      <c r="Q63" t="s">
        <v>33</v>
      </c>
      <c r="R63" t="s">
        <v>33</v>
      </c>
      <c r="S63" s="3">
        <v>11335500</v>
      </c>
      <c r="T63" t="str">
        <f>TEXT(tblTransactions[[#This Row],[Date]],"mmm")</f>
        <v>Mar</v>
      </c>
      <c r="U63">
        <f>MONTH(tblTransactions[[#This Row],[Date]])</f>
        <v>3</v>
      </c>
      <c r="V63" t="str">
        <f>"Q"&amp;ROUNDUP(MONTH(tblTransactions[[#This Row],[Date]])/3,0)</f>
        <v>Q1</v>
      </c>
    </row>
    <row r="64" spans="1:22" x14ac:dyDescent="0.25">
      <c r="A64" t="s">
        <v>142</v>
      </c>
      <c r="B64" s="2">
        <v>46095</v>
      </c>
      <c r="C64">
        <v>2026</v>
      </c>
      <c r="D64" t="s">
        <v>68</v>
      </c>
      <c r="E64" t="s">
        <v>554</v>
      </c>
      <c r="F64" t="s">
        <v>24</v>
      </c>
      <c r="G64" t="s">
        <v>43</v>
      </c>
      <c r="H64" t="s">
        <v>44</v>
      </c>
      <c r="I64" t="s">
        <v>45</v>
      </c>
      <c r="J64" t="s">
        <v>87</v>
      </c>
      <c r="K64" t="s">
        <v>44</v>
      </c>
      <c r="L64" s="3">
        <v>1090800</v>
      </c>
      <c r="M64" s="3">
        <v>1820300</v>
      </c>
      <c r="N64" t="s">
        <v>39</v>
      </c>
      <c r="O64" t="s">
        <v>76</v>
      </c>
      <c r="P64" t="s">
        <v>31</v>
      </c>
      <c r="Q64" t="s">
        <v>33</v>
      </c>
      <c r="R64" t="s">
        <v>33</v>
      </c>
      <c r="S64" s="3">
        <v>10244700</v>
      </c>
      <c r="T64" t="str">
        <f>TEXT(tblTransactions[[#This Row],[Date]],"mmm")</f>
        <v>Mar</v>
      </c>
      <c r="U64">
        <f>MONTH(tblTransactions[[#This Row],[Date]])</f>
        <v>3</v>
      </c>
      <c r="V64" t="str">
        <f>"Q"&amp;ROUNDUP(MONTH(tblTransactions[[#This Row],[Date]])/3,0)</f>
        <v>Q1</v>
      </c>
    </row>
    <row r="65" spans="1:22" x14ac:dyDescent="0.25">
      <c r="A65" t="s">
        <v>143</v>
      </c>
      <c r="B65" s="2">
        <v>46096</v>
      </c>
      <c r="C65">
        <v>2026</v>
      </c>
      <c r="D65" t="s">
        <v>68</v>
      </c>
      <c r="E65" t="s">
        <v>555</v>
      </c>
      <c r="F65" t="s">
        <v>24</v>
      </c>
      <c r="G65" t="s">
        <v>62</v>
      </c>
      <c r="H65" t="s">
        <v>63</v>
      </c>
      <c r="I65" t="s">
        <v>50</v>
      </c>
      <c r="J65" t="s">
        <v>87</v>
      </c>
      <c r="K65" t="s">
        <v>63</v>
      </c>
      <c r="L65" s="3">
        <v>576000</v>
      </c>
      <c r="M65" s="3">
        <v>599000</v>
      </c>
      <c r="N65" t="s">
        <v>39</v>
      </c>
      <c r="O65" t="s">
        <v>47</v>
      </c>
      <c r="P65" t="s">
        <v>31</v>
      </c>
      <c r="Q65" t="s">
        <v>33</v>
      </c>
      <c r="R65" t="s">
        <v>33</v>
      </c>
      <c r="S65" s="3">
        <v>9668700</v>
      </c>
      <c r="T65" t="str">
        <f>TEXT(tblTransactions[[#This Row],[Date]],"mmm")</f>
        <v>Mar</v>
      </c>
      <c r="U65">
        <f>MONTH(tblTransactions[[#This Row],[Date]])</f>
        <v>3</v>
      </c>
      <c r="V65" t="str">
        <f>"Q"&amp;ROUNDUP(MONTH(tblTransactions[[#This Row],[Date]])/3,0)</f>
        <v>Q1</v>
      </c>
    </row>
    <row r="66" spans="1:22" x14ac:dyDescent="0.25">
      <c r="A66" t="s">
        <v>144</v>
      </c>
      <c r="B66" s="2">
        <v>46097</v>
      </c>
      <c r="C66">
        <v>2026</v>
      </c>
      <c r="D66" t="s">
        <v>23</v>
      </c>
      <c r="E66" t="s">
        <v>557</v>
      </c>
      <c r="F66" t="s">
        <v>24</v>
      </c>
      <c r="G66" t="s">
        <v>101</v>
      </c>
      <c r="H66" t="s">
        <v>102</v>
      </c>
      <c r="I66" t="s">
        <v>50</v>
      </c>
      <c r="J66" t="s">
        <v>28</v>
      </c>
      <c r="K66" t="s">
        <v>102</v>
      </c>
      <c r="L66" s="3">
        <v>1836900</v>
      </c>
      <c r="M66" s="3">
        <v>621000</v>
      </c>
      <c r="N66" t="s">
        <v>39</v>
      </c>
      <c r="O66" t="s">
        <v>98</v>
      </c>
      <c r="P66" t="s">
        <v>31</v>
      </c>
      <c r="Q66" t="s">
        <v>32</v>
      </c>
      <c r="R66" t="s">
        <v>32</v>
      </c>
      <c r="S66" s="3">
        <v>7831800</v>
      </c>
      <c r="T66" t="str">
        <f>TEXT(tblTransactions[[#This Row],[Date]],"mmm")</f>
        <v>Mar</v>
      </c>
      <c r="U66">
        <f>MONTH(tblTransactions[[#This Row],[Date]])</f>
        <v>3</v>
      </c>
      <c r="V66" t="str">
        <f>"Q"&amp;ROUNDUP(MONTH(tblTransactions[[#This Row],[Date]])/3,0)</f>
        <v>Q1</v>
      </c>
    </row>
    <row r="67" spans="1:22" x14ac:dyDescent="0.25">
      <c r="A67" t="s">
        <v>145</v>
      </c>
      <c r="B67" s="2">
        <v>46098</v>
      </c>
      <c r="C67">
        <v>2026</v>
      </c>
      <c r="D67" t="s">
        <v>68</v>
      </c>
      <c r="E67" t="s">
        <v>554</v>
      </c>
      <c r="F67" t="s">
        <v>35</v>
      </c>
      <c r="G67" t="s">
        <v>49</v>
      </c>
      <c r="H67" t="s">
        <v>49</v>
      </c>
      <c r="I67" t="s">
        <v>45</v>
      </c>
      <c r="J67" t="s">
        <v>46</v>
      </c>
      <c r="K67" t="s">
        <v>49</v>
      </c>
      <c r="L67" s="3">
        <v>7161600</v>
      </c>
      <c r="M67" s="3">
        <v>0</v>
      </c>
      <c r="N67" t="s">
        <v>58</v>
      </c>
      <c r="O67" t="s">
        <v>109</v>
      </c>
      <c r="P67" t="s">
        <v>31</v>
      </c>
      <c r="Q67" t="s">
        <v>33</v>
      </c>
      <c r="R67" t="s">
        <v>33</v>
      </c>
      <c r="S67" s="3">
        <v>14993400</v>
      </c>
      <c r="T67" t="str">
        <f>TEXT(tblTransactions[[#This Row],[Date]],"mmm")</f>
        <v>Mar</v>
      </c>
      <c r="U67">
        <f>MONTH(tblTransactions[[#This Row],[Date]])</f>
        <v>3</v>
      </c>
      <c r="V67" t="str">
        <f>"Q"&amp;ROUNDUP(MONTH(tblTransactions[[#This Row],[Date]])/3,0)</f>
        <v>Q1</v>
      </c>
    </row>
    <row r="68" spans="1:22" x14ac:dyDescent="0.25">
      <c r="A68" t="s">
        <v>146</v>
      </c>
      <c r="B68" s="2">
        <v>46099</v>
      </c>
      <c r="C68">
        <v>2026</v>
      </c>
      <c r="D68" t="s">
        <v>23</v>
      </c>
      <c r="E68" t="s">
        <v>552</v>
      </c>
      <c r="F68" t="s">
        <v>24</v>
      </c>
      <c r="G68" t="s">
        <v>107</v>
      </c>
      <c r="H68" t="s">
        <v>108</v>
      </c>
      <c r="I68" t="s">
        <v>42</v>
      </c>
      <c r="J68" t="s">
        <v>46</v>
      </c>
      <c r="K68" t="s">
        <v>108</v>
      </c>
      <c r="L68" s="3">
        <v>1454800</v>
      </c>
      <c r="M68" s="3">
        <v>604400</v>
      </c>
      <c r="N68" t="s">
        <v>39</v>
      </c>
      <c r="O68" t="s">
        <v>60</v>
      </c>
      <c r="P68" t="s">
        <v>31</v>
      </c>
      <c r="Q68" t="s">
        <v>33</v>
      </c>
      <c r="R68" t="s">
        <v>33</v>
      </c>
      <c r="S68" s="3">
        <v>13538600</v>
      </c>
      <c r="T68" t="str">
        <f>TEXT(tblTransactions[[#This Row],[Date]],"mmm")</f>
        <v>Mar</v>
      </c>
      <c r="U68">
        <f>MONTH(tblTransactions[[#This Row],[Date]])</f>
        <v>3</v>
      </c>
      <c r="V68" t="str">
        <f>"Q"&amp;ROUNDUP(MONTH(tblTransactions[[#This Row],[Date]])/3,0)</f>
        <v>Q1</v>
      </c>
    </row>
    <row r="69" spans="1:22" x14ac:dyDescent="0.25">
      <c r="A69" t="s">
        <v>147</v>
      </c>
      <c r="B69" s="2">
        <v>46100</v>
      </c>
      <c r="C69">
        <v>2026</v>
      </c>
      <c r="D69" t="s">
        <v>42</v>
      </c>
      <c r="E69" t="s">
        <v>554</v>
      </c>
      <c r="F69" t="s">
        <v>24</v>
      </c>
      <c r="G69" t="s">
        <v>25</v>
      </c>
      <c r="H69" t="s">
        <v>26</v>
      </c>
      <c r="I69" t="s">
        <v>50</v>
      </c>
      <c r="J69" t="s">
        <v>92</v>
      </c>
      <c r="K69" t="s">
        <v>26</v>
      </c>
      <c r="L69" s="3">
        <v>1035200</v>
      </c>
      <c r="M69" s="3">
        <v>1967100</v>
      </c>
      <c r="N69" t="s">
        <v>29</v>
      </c>
      <c r="O69" t="s">
        <v>109</v>
      </c>
      <c r="P69" t="s">
        <v>31</v>
      </c>
      <c r="Q69" t="s">
        <v>33</v>
      </c>
      <c r="R69" t="s">
        <v>33</v>
      </c>
      <c r="S69" s="3">
        <v>12503400</v>
      </c>
      <c r="T69" t="str">
        <f>TEXT(tblTransactions[[#This Row],[Date]],"mmm")</f>
        <v>Mar</v>
      </c>
      <c r="U69">
        <f>MONTH(tblTransactions[[#This Row],[Date]])</f>
        <v>3</v>
      </c>
      <c r="V69" t="str">
        <f>"Q"&amp;ROUNDUP(MONTH(tblTransactions[[#This Row],[Date]])/3,0)</f>
        <v>Q1</v>
      </c>
    </row>
    <row r="70" spans="1:22" x14ac:dyDescent="0.25">
      <c r="A70" t="s">
        <v>148</v>
      </c>
      <c r="B70" s="2">
        <v>46101</v>
      </c>
      <c r="C70">
        <v>2026</v>
      </c>
      <c r="D70" t="s">
        <v>42</v>
      </c>
      <c r="E70" t="s">
        <v>557</v>
      </c>
      <c r="F70" t="s">
        <v>24</v>
      </c>
      <c r="G70" t="s">
        <v>70</v>
      </c>
      <c r="H70" t="s">
        <v>71</v>
      </c>
      <c r="I70" t="s">
        <v>37</v>
      </c>
      <c r="J70" t="s">
        <v>46</v>
      </c>
      <c r="K70" t="s">
        <v>71</v>
      </c>
      <c r="L70" s="3">
        <v>1352300</v>
      </c>
      <c r="M70" s="3">
        <v>347800</v>
      </c>
      <c r="N70" t="s">
        <v>51</v>
      </c>
      <c r="O70" t="s">
        <v>109</v>
      </c>
      <c r="P70" t="s">
        <v>31</v>
      </c>
      <c r="Q70" t="s">
        <v>33</v>
      </c>
      <c r="R70" t="s">
        <v>33</v>
      </c>
      <c r="S70" s="3">
        <v>11151100</v>
      </c>
      <c r="T70" t="str">
        <f>TEXT(tblTransactions[[#This Row],[Date]],"mmm")</f>
        <v>Mar</v>
      </c>
      <c r="U70">
        <f>MONTH(tblTransactions[[#This Row],[Date]])</f>
        <v>3</v>
      </c>
      <c r="V70" t="str">
        <f>"Q"&amp;ROUNDUP(MONTH(tblTransactions[[#This Row],[Date]])/3,0)</f>
        <v>Q1</v>
      </c>
    </row>
    <row r="71" spans="1:22" x14ac:dyDescent="0.25">
      <c r="A71" t="s">
        <v>149</v>
      </c>
      <c r="B71" s="2">
        <v>46102</v>
      </c>
      <c r="C71">
        <v>2026</v>
      </c>
      <c r="D71" t="s">
        <v>42</v>
      </c>
      <c r="E71" t="s">
        <v>554</v>
      </c>
      <c r="F71" t="s">
        <v>24</v>
      </c>
      <c r="G71" t="s">
        <v>74</v>
      </c>
      <c r="H71" t="s">
        <v>75</v>
      </c>
      <c r="I71" t="s">
        <v>42</v>
      </c>
      <c r="J71" t="s">
        <v>57</v>
      </c>
      <c r="K71" t="s">
        <v>75</v>
      </c>
      <c r="L71" s="3">
        <v>1639300</v>
      </c>
      <c r="M71" s="3">
        <v>1705300</v>
      </c>
      <c r="N71" t="s">
        <v>58</v>
      </c>
      <c r="O71" t="s">
        <v>52</v>
      </c>
      <c r="P71" t="s">
        <v>31</v>
      </c>
      <c r="Q71" t="s">
        <v>33</v>
      </c>
      <c r="R71" t="s">
        <v>32</v>
      </c>
      <c r="S71" s="3">
        <v>9511800</v>
      </c>
      <c r="T71" t="str">
        <f>TEXT(tblTransactions[[#This Row],[Date]],"mmm")</f>
        <v>Mar</v>
      </c>
      <c r="U71">
        <f>MONTH(tblTransactions[[#This Row],[Date]])</f>
        <v>3</v>
      </c>
      <c r="V71" t="str">
        <f>"Q"&amp;ROUNDUP(MONTH(tblTransactions[[#This Row],[Date]])/3,0)</f>
        <v>Q1</v>
      </c>
    </row>
    <row r="72" spans="1:22" x14ac:dyDescent="0.25">
      <c r="A72" t="s">
        <v>150</v>
      </c>
      <c r="B72" s="2">
        <v>46104</v>
      </c>
      <c r="C72">
        <v>2026</v>
      </c>
      <c r="D72" t="s">
        <v>68</v>
      </c>
      <c r="E72" t="s">
        <v>552</v>
      </c>
      <c r="F72" t="s">
        <v>24</v>
      </c>
      <c r="G72" t="s">
        <v>54</v>
      </c>
      <c r="H72" t="s">
        <v>55</v>
      </c>
      <c r="I72" t="s">
        <v>42</v>
      </c>
      <c r="J72" t="s">
        <v>115</v>
      </c>
      <c r="K72" t="s">
        <v>55</v>
      </c>
      <c r="L72" s="3">
        <v>720200</v>
      </c>
      <c r="M72" s="3">
        <v>152500</v>
      </c>
      <c r="N72" t="s">
        <v>39</v>
      </c>
      <c r="O72" t="s">
        <v>47</v>
      </c>
      <c r="P72" t="s">
        <v>31</v>
      </c>
      <c r="Q72" t="s">
        <v>32</v>
      </c>
      <c r="R72" t="s">
        <v>33</v>
      </c>
      <c r="S72" s="3">
        <v>8791600</v>
      </c>
      <c r="T72" t="str">
        <f>TEXT(tblTransactions[[#This Row],[Date]],"mmm")</f>
        <v>Mar</v>
      </c>
      <c r="U72">
        <f>MONTH(tblTransactions[[#This Row],[Date]])</f>
        <v>3</v>
      </c>
      <c r="V72" t="str">
        <f>"Q"&amp;ROUNDUP(MONTH(tblTransactions[[#This Row],[Date]])/3,0)</f>
        <v>Q1</v>
      </c>
    </row>
    <row r="73" spans="1:22" x14ac:dyDescent="0.25">
      <c r="A73" t="s">
        <v>151</v>
      </c>
      <c r="B73" s="2">
        <v>46105</v>
      </c>
      <c r="C73">
        <v>2026</v>
      </c>
      <c r="D73" t="s">
        <v>23</v>
      </c>
      <c r="E73" t="s">
        <v>552</v>
      </c>
      <c r="F73" t="s">
        <v>24</v>
      </c>
      <c r="G73" t="s">
        <v>62</v>
      </c>
      <c r="H73" t="s">
        <v>63</v>
      </c>
      <c r="I73" t="s">
        <v>37</v>
      </c>
      <c r="J73" t="s">
        <v>64</v>
      </c>
      <c r="K73" t="s">
        <v>63</v>
      </c>
      <c r="L73" s="3">
        <v>878100</v>
      </c>
      <c r="M73" s="3">
        <v>1175900</v>
      </c>
      <c r="N73" t="s">
        <v>29</v>
      </c>
      <c r="O73" t="s">
        <v>30</v>
      </c>
      <c r="P73" t="s">
        <v>31</v>
      </c>
      <c r="Q73" t="s">
        <v>33</v>
      </c>
      <c r="R73" t="s">
        <v>33</v>
      </c>
      <c r="S73" s="3">
        <v>7913500</v>
      </c>
      <c r="T73" t="str">
        <f>TEXT(tblTransactions[[#This Row],[Date]],"mmm")</f>
        <v>Mar</v>
      </c>
      <c r="U73">
        <f>MONTH(tblTransactions[[#This Row],[Date]])</f>
        <v>3</v>
      </c>
      <c r="V73" t="str">
        <f>"Q"&amp;ROUNDUP(MONTH(tblTransactions[[#This Row],[Date]])/3,0)</f>
        <v>Q1</v>
      </c>
    </row>
    <row r="74" spans="1:22" x14ac:dyDescent="0.25">
      <c r="A74" t="s">
        <v>152</v>
      </c>
      <c r="B74" s="2">
        <v>46106</v>
      </c>
      <c r="C74">
        <v>2026</v>
      </c>
      <c r="D74" t="s">
        <v>23</v>
      </c>
      <c r="E74" t="s">
        <v>553</v>
      </c>
      <c r="F74" t="s">
        <v>24</v>
      </c>
      <c r="G74" t="s">
        <v>62</v>
      </c>
      <c r="H74" t="s">
        <v>63</v>
      </c>
      <c r="I74" t="s">
        <v>37</v>
      </c>
      <c r="J74" t="s">
        <v>92</v>
      </c>
      <c r="K74" t="s">
        <v>63</v>
      </c>
      <c r="L74" s="3">
        <v>1376800</v>
      </c>
      <c r="M74" s="3">
        <v>1881200</v>
      </c>
      <c r="N74" t="s">
        <v>39</v>
      </c>
      <c r="O74" t="s">
        <v>72</v>
      </c>
      <c r="P74" t="s">
        <v>31</v>
      </c>
      <c r="Q74" t="s">
        <v>33</v>
      </c>
      <c r="R74" t="s">
        <v>33</v>
      </c>
      <c r="S74" s="3">
        <v>6536700</v>
      </c>
      <c r="T74" t="str">
        <f>TEXT(tblTransactions[[#This Row],[Date]],"mmm")</f>
        <v>Mar</v>
      </c>
      <c r="U74">
        <f>MONTH(tblTransactions[[#This Row],[Date]])</f>
        <v>3</v>
      </c>
      <c r="V74" t="str">
        <f>"Q"&amp;ROUNDUP(MONTH(tblTransactions[[#This Row],[Date]])/3,0)</f>
        <v>Q1</v>
      </c>
    </row>
    <row r="75" spans="1:22" x14ac:dyDescent="0.25">
      <c r="A75" t="s">
        <v>153</v>
      </c>
      <c r="B75" s="2">
        <v>46107</v>
      </c>
      <c r="C75">
        <v>2026</v>
      </c>
      <c r="D75" t="s">
        <v>23</v>
      </c>
      <c r="E75" t="s">
        <v>553</v>
      </c>
      <c r="F75" t="s">
        <v>24</v>
      </c>
      <c r="G75" t="s">
        <v>54</v>
      </c>
      <c r="H75" t="s">
        <v>55</v>
      </c>
      <c r="I75" t="s">
        <v>42</v>
      </c>
      <c r="J75" t="s">
        <v>78</v>
      </c>
      <c r="K75" t="s">
        <v>55</v>
      </c>
      <c r="L75" s="3">
        <v>400400</v>
      </c>
      <c r="M75" s="3">
        <v>702300</v>
      </c>
      <c r="N75" t="s">
        <v>51</v>
      </c>
      <c r="O75" t="s">
        <v>60</v>
      </c>
      <c r="P75" t="s">
        <v>31</v>
      </c>
      <c r="Q75" t="s">
        <v>32</v>
      </c>
      <c r="R75" t="s">
        <v>32</v>
      </c>
      <c r="S75" s="3">
        <v>6136300</v>
      </c>
      <c r="T75" t="str">
        <f>TEXT(tblTransactions[[#This Row],[Date]],"mmm")</f>
        <v>Mar</v>
      </c>
      <c r="U75">
        <f>MONTH(tblTransactions[[#This Row],[Date]])</f>
        <v>3</v>
      </c>
      <c r="V75" t="str">
        <f>"Q"&amp;ROUNDUP(MONTH(tblTransactions[[#This Row],[Date]])/3,0)</f>
        <v>Q1</v>
      </c>
    </row>
    <row r="76" spans="1:22" x14ac:dyDescent="0.25">
      <c r="A76" t="s">
        <v>154</v>
      </c>
      <c r="B76" s="2">
        <v>46108</v>
      </c>
      <c r="C76">
        <v>2026</v>
      </c>
      <c r="D76" t="s">
        <v>23</v>
      </c>
      <c r="E76" t="s">
        <v>555</v>
      </c>
      <c r="F76" t="s">
        <v>35</v>
      </c>
      <c r="G76" t="s">
        <v>95</v>
      </c>
      <c r="H76" t="s">
        <v>96</v>
      </c>
      <c r="I76" t="s">
        <v>45</v>
      </c>
      <c r="J76" t="s">
        <v>46</v>
      </c>
      <c r="K76" t="s">
        <v>96</v>
      </c>
      <c r="L76" s="3">
        <v>3397700</v>
      </c>
      <c r="M76" s="3">
        <v>0</v>
      </c>
      <c r="N76" t="s">
        <v>29</v>
      </c>
      <c r="O76" t="s">
        <v>66</v>
      </c>
      <c r="P76" t="s">
        <v>31</v>
      </c>
      <c r="Q76" t="s">
        <v>32</v>
      </c>
      <c r="R76" t="s">
        <v>33</v>
      </c>
      <c r="S76" s="3">
        <v>9534000</v>
      </c>
      <c r="T76" t="str">
        <f>TEXT(tblTransactions[[#This Row],[Date]],"mmm")</f>
        <v>Mar</v>
      </c>
      <c r="U76">
        <f>MONTH(tblTransactions[[#This Row],[Date]])</f>
        <v>3</v>
      </c>
      <c r="V76" t="str">
        <f>"Q"&amp;ROUNDUP(MONTH(tblTransactions[[#This Row],[Date]])/3,0)</f>
        <v>Q1</v>
      </c>
    </row>
    <row r="77" spans="1:22" x14ac:dyDescent="0.25">
      <c r="A77" t="s">
        <v>155</v>
      </c>
      <c r="B77" s="2">
        <v>46109</v>
      </c>
      <c r="C77">
        <v>2026</v>
      </c>
      <c r="D77" t="s">
        <v>42</v>
      </c>
      <c r="E77" t="s">
        <v>553</v>
      </c>
      <c r="F77" t="s">
        <v>24</v>
      </c>
      <c r="G77" t="s">
        <v>54</v>
      </c>
      <c r="H77" t="s">
        <v>55</v>
      </c>
      <c r="I77" t="s">
        <v>45</v>
      </c>
      <c r="J77" t="s">
        <v>115</v>
      </c>
      <c r="K77" t="s">
        <v>55</v>
      </c>
      <c r="L77" s="3">
        <v>1898000</v>
      </c>
      <c r="M77" s="3">
        <v>1117100</v>
      </c>
      <c r="N77" t="s">
        <v>51</v>
      </c>
      <c r="O77" t="s">
        <v>52</v>
      </c>
      <c r="P77" t="s">
        <v>31</v>
      </c>
      <c r="Q77" t="s">
        <v>33</v>
      </c>
      <c r="R77" t="s">
        <v>33</v>
      </c>
      <c r="S77" s="3">
        <v>7636000</v>
      </c>
      <c r="T77" t="str">
        <f>TEXT(tblTransactions[[#This Row],[Date]],"mmm")</f>
        <v>Mar</v>
      </c>
      <c r="U77">
        <f>MONTH(tblTransactions[[#This Row],[Date]])</f>
        <v>3</v>
      </c>
      <c r="V77" t="str">
        <f>"Q"&amp;ROUNDUP(MONTH(tblTransactions[[#This Row],[Date]])/3,0)</f>
        <v>Q1</v>
      </c>
    </row>
    <row r="78" spans="1:22" x14ac:dyDescent="0.25">
      <c r="A78" t="s">
        <v>156</v>
      </c>
      <c r="B78" s="2">
        <v>46110</v>
      </c>
      <c r="C78">
        <v>2026</v>
      </c>
      <c r="D78" t="s">
        <v>42</v>
      </c>
      <c r="E78" t="s">
        <v>556</v>
      </c>
      <c r="F78" t="s">
        <v>24</v>
      </c>
      <c r="G78" t="s">
        <v>62</v>
      </c>
      <c r="H78" t="s">
        <v>63</v>
      </c>
      <c r="I78" t="s">
        <v>27</v>
      </c>
      <c r="J78" t="s">
        <v>78</v>
      </c>
      <c r="K78" t="s">
        <v>63</v>
      </c>
      <c r="L78" s="3">
        <v>1724600</v>
      </c>
      <c r="M78" s="3">
        <v>1004800</v>
      </c>
      <c r="N78" t="s">
        <v>39</v>
      </c>
      <c r="O78" t="s">
        <v>60</v>
      </c>
      <c r="P78" t="s">
        <v>31</v>
      </c>
      <c r="Q78" t="s">
        <v>33</v>
      </c>
      <c r="R78" t="s">
        <v>33</v>
      </c>
      <c r="S78" s="3">
        <v>5911400</v>
      </c>
      <c r="T78" t="str">
        <f>TEXT(tblTransactions[[#This Row],[Date]],"mmm")</f>
        <v>Mar</v>
      </c>
      <c r="U78">
        <f>MONTH(tblTransactions[[#This Row],[Date]])</f>
        <v>3</v>
      </c>
      <c r="V78" t="str">
        <f>"Q"&amp;ROUNDUP(MONTH(tblTransactions[[#This Row],[Date]])/3,0)</f>
        <v>Q1</v>
      </c>
    </row>
    <row r="79" spans="1:22" x14ac:dyDescent="0.25">
      <c r="A79" t="s">
        <v>157</v>
      </c>
      <c r="B79" s="2">
        <v>46111</v>
      </c>
      <c r="C79">
        <v>2026</v>
      </c>
      <c r="D79" t="s">
        <v>23</v>
      </c>
      <c r="E79" t="s">
        <v>557</v>
      </c>
      <c r="F79" t="s">
        <v>24</v>
      </c>
      <c r="G79" t="s">
        <v>107</v>
      </c>
      <c r="H79" t="s">
        <v>108</v>
      </c>
      <c r="I79" t="s">
        <v>37</v>
      </c>
      <c r="J79" t="s">
        <v>115</v>
      </c>
      <c r="K79" t="s">
        <v>108</v>
      </c>
      <c r="L79" s="3">
        <v>12300</v>
      </c>
      <c r="M79" s="3">
        <v>1229500</v>
      </c>
      <c r="N79" t="s">
        <v>29</v>
      </c>
      <c r="O79" t="s">
        <v>98</v>
      </c>
      <c r="P79" t="s">
        <v>31</v>
      </c>
      <c r="Q79" t="s">
        <v>33</v>
      </c>
      <c r="R79" t="s">
        <v>33</v>
      </c>
      <c r="S79" s="3">
        <v>5899100</v>
      </c>
      <c r="T79" t="str">
        <f>TEXT(tblTransactions[[#This Row],[Date]],"mmm")</f>
        <v>Mar</v>
      </c>
      <c r="U79">
        <f>MONTH(tblTransactions[[#This Row],[Date]])</f>
        <v>3</v>
      </c>
      <c r="V79" t="str">
        <f>"Q"&amp;ROUNDUP(MONTH(tblTransactions[[#This Row],[Date]])/3,0)</f>
        <v>Q1</v>
      </c>
    </row>
    <row r="80" spans="1:22" x14ac:dyDescent="0.25">
      <c r="A80" t="s">
        <v>158</v>
      </c>
      <c r="B80" s="2">
        <v>46114</v>
      </c>
      <c r="C80">
        <v>2026</v>
      </c>
      <c r="D80" t="s">
        <v>42</v>
      </c>
      <c r="E80" t="s">
        <v>552</v>
      </c>
      <c r="F80" t="s">
        <v>24</v>
      </c>
      <c r="G80" t="s">
        <v>43</v>
      </c>
      <c r="H80" t="s">
        <v>44</v>
      </c>
      <c r="I80" t="s">
        <v>56</v>
      </c>
      <c r="J80" t="s">
        <v>87</v>
      </c>
      <c r="K80" t="s">
        <v>44</v>
      </c>
      <c r="L80" s="3">
        <v>553000</v>
      </c>
      <c r="M80" s="3">
        <v>148400</v>
      </c>
      <c r="N80" t="s">
        <v>58</v>
      </c>
      <c r="O80" t="s">
        <v>76</v>
      </c>
      <c r="P80" t="s">
        <v>31</v>
      </c>
      <c r="Q80" t="s">
        <v>32</v>
      </c>
      <c r="R80" t="s">
        <v>32</v>
      </c>
      <c r="S80" s="3">
        <v>5346100</v>
      </c>
      <c r="T80" t="str">
        <f>TEXT(tblTransactions[[#This Row],[Date]],"mmm")</f>
        <v>Apr</v>
      </c>
      <c r="U80">
        <f>MONTH(tblTransactions[[#This Row],[Date]])</f>
        <v>4</v>
      </c>
      <c r="V80" t="str">
        <f>"Q"&amp;ROUNDUP(MONTH(tblTransactions[[#This Row],[Date]])/3,0)</f>
        <v>Q2</v>
      </c>
    </row>
    <row r="81" spans="1:22" x14ac:dyDescent="0.25">
      <c r="A81" t="s">
        <v>159</v>
      </c>
      <c r="B81" s="2">
        <v>46115</v>
      </c>
      <c r="C81">
        <v>2026</v>
      </c>
      <c r="D81" t="s">
        <v>42</v>
      </c>
      <c r="E81" t="s">
        <v>557</v>
      </c>
      <c r="F81" t="s">
        <v>24</v>
      </c>
      <c r="G81" t="s">
        <v>25</v>
      </c>
      <c r="H81" t="s">
        <v>26</v>
      </c>
      <c r="I81" t="s">
        <v>27</v>
      </c>
      <c r="J81" t="s">
        <v>57</v>
      </c>
      <c r="K81" t="s">
        <v>26</v>
      </c>
      <c r="L81" s="3">
        <v>1713900</v>
      </c>
      <c r="M81" s="3">
        <v>515800</v>
      </c>
      <c r="N81" t="s">
        <v>58</v>
      </c>
      <c r="O81" t="s">
        <v>47</v>
      </c>
      <c r="P81" t="s">
        <v>31</v>
      </c>
      <c r="Q81" t="s">
        <v>32</v>
      </c>
      <c r="R81" t="s">
        <v>32</v>
      </c>
      <c r="S81" s="3">
        <v>3632200</v>
      </c>
      <c r="T81" t="str">
        <f>TEXT(tblTransactions[[#This Row],[Date]],"mmm")</f>
        <v>Apr</v>
      </c>
      <c r="U81">
        <f>MONTH(tblTransactions[[#This Row],[Date]])</f>
        <v>4</v>
      </c>
      <c r="V81" t="str">
        <f>"Q"&amp;ROUNDUP(MONTH(tblTransactions[[#This Row],[Date]])/3,0)</f>
        <v>Q2</v>
      </c>
    </row>
    <row r="82" spans="1:22" x14ac:dyDescent="0.25">
      <c r="A82" t="s">
        <v>160</v>
      </c>
      <c r="B82" s="2">
        <v>46116</v>
      </c>
      <c r="C82">
        <v>2026</v>
      </c>
      <c r="D82" t="s">
        <v>68</v>
      </c>
      <c r="E82" t="s">
        <v>554</v>
      </c>
      <c r="F82" t="s">
        <v>35</v>
      </c>
      <c r="G82" t="s">
        <v>36</v>
      </c>
      <c r="H82" t="s">
        <v>36</v>
      </c>
      <c r="I82" t="s">
        <v>37</v>
      </c>
      <c r="J82" t="s">
        <v>115</v>
      </c>
      <c r="K82" t="s">
        <v>36</v>
      </c>
      <c r="L82" s="3">
        <v>7394900</v>
      </c>
      <c r="M82" s="3">
        <v>0</v>
      </c>
      <c r="N82" t="s">
        <v>39</v>
      </c>
      <c r="O82" t="s">
        <v>66</v>
      </c>
      <c r="P82" t="s">
        <v>31</v>
      </c>
      <c r="Q82" t="s">
        <v>33</v>
      </c>
      <c r="R82" t="s">
        <v>33</v>
      </c>
      <c r="S82" s="3">
        <v>11027100</v>
      </c>
      <c r="T82" t="str">
        <f>TEXT(tblTransactions[[#This Row],[Date]],"mmm")</f>
        <v>Apr</v>
      </c>
      <c r="U82">
        <f>MONTH(tblTransactions[[#This Row],[Date]])</f>
        <v>4</v>
      </c>
      <c r="V82" t="str">
        <f>"Q"&amp;ROUNDUP(MONTH(tblTransactions[[#This Row],[Date]])/3,0)</f>
        <v>Q2</v>
      </c>
    </row>
    <row r="83" spans="1:22" x14ac:dyDescent="0.25">
      <c r="A83" t="s">
        <v>161</v>
      </c>
      <c r="B83" s="2">
        <v>46117</v>
      </c>
      <c r="C83">
        <v>2026</v>
      </c>
      <c r="D83" t="s">
        <v>23</v>
      </c>
      <c r="E83" t="s">
        <v>552</v>
      </c>
      <c r="F83" t="s">
        <v>24</v>
      </c>
      <c r="G83" t="s">
        <v>70</v>
      </c>
      <c r="H83" t="s">
        <v>71</v>
      </c>
      <c r="I83" t="s">
        <v>56</v>
      </c>
      <c r="J83" t="s">
        <v>57</v>
      </c>
      <c r="K83" t="s">
        <v>71</v>
      </c>
      <c r="L83" s="3">
        <v>63800</v>
      </c>
      <c r="M83" s="3">
        <v>1818700</v>
      </c>
      <c r="N83" t="s">
        <v>29</v>
      </c>
      <c r="O83" t="s">
        <v>52</v>
      </c>
      <c r="P83" t="s">
        <v>31</v>
      </c>
      <c r="Q83" t="s">
        <v>32</v>
      </c>
      <c r="R83" t="s">
        <v>33</v>
      </c>
      <c r="S83" s="3">
        <v>10963300</v>
      </c>
      <c r="T83" t="str">
        <f>TEXT(tblTransactions[[#This Row],[Date]],"mmm")</f>
        <v>Apr</v>
      </c>
      <c r="U83">
        <f>MONTH(tblTransactions[[#This Row],[Date]])</f>
        <v>4</v>
      </c>
      <c r="V83" t="str">
        <f>"Q"&amp;ROUNDUP(MONTH(tblTransactions[[#This Row],[Date]])/3,0)</f>
        <v>Q2</v>
      </c>
    </row>
    <row r="84" spans="1:22" x14ac:dyDescent="0.25">
      <c r="A84" t="s">
        <v>162</v>
      </c>
      <c r="B84" s="2">
        <v>46119</v>
      </c>
      <c r="C84">
        <v>2026</v>
      </c>
      <c r="D84" t="s">
        <v>42</v>
      </c>
      <c r="E84" t="s">
        <v>555</v>
      </c>
      <c r="F84" t="s">
        <v>35</v>
      </c>
      <c r="G84" t="s">
        <v>95</v>
      </c>
      <c r="H84" t="s">
        <v>96</v>
      </c>
      <c r="I84" t="s">
        <v>42</v>
      </c>
      <c r="J84" t="s">
        <v>78</v>
      </c>
      <c r="K84" t="s">
        <v>96</v>
      </c>
      <c r="L84" s="3">
        <v>5289200</v>
      </c>
      <c r="M84" s="3">
        <v>0</v>
      </c>
      <c r="N84" t="s">
        <v>39</v>
      </c>
      <c r="O84" t="s">
        <v>109</v>
      </c>
      <c r="P84" t="s">
        <v>31</v>
      </c>
      <c r="Q84" t="s">
        <v>32</v>
      </c>
      <c r="R84" t="s">
        <v>33</v>
      </c>
      <c r="S84" s="3">
        <v>16252500</v>
      </c>
      <c r="T84" t="str">
        <f>TEXT(tblTransactions[[#This Row],[Date]],"mmm")</f>
        <v>Apr</v>
      </c>
      <c r="U84">
        <f>MONTH(tblTransactions[[#This Row],[Date]])</f>
        <v>4</v>
      </c>
      <c r="V84" t="str">
        <f>"Q"&amp;ROUNDUP(MONTH(tblTransactions[[#This Row],[Date]])/3,0)</f>
        <v>Q2</v>
      </c>
    </row>
    <row r="85" spans="1:22" x14ac:dyDescent="0.25">
      <c r="A85" t="s">
        <v>163</v>
      </c>
      <c r="B85" s="2">
        <v>46120</v>
      </c>
      <c r="C85">
        <v>2026</v>
      </c>
      <c r="D85" t="s">
        <v>23</v>
      </c>
      <c r="E85" t="s">
        <v>554</v>
      </c>
      <c r="F85" t="s">
        <v>35</v>
      </c>
      <c r="G85" t="s">
        <v>80</v>
      </c>
      <c r="H85" t="s">
        <v>81</v>
      </c>
      <c r="I85" t="s">
        <v>37</v>
      </c>
      <c r="J85" t="s">
        <v>115</v>
      </c>
      <c r="K85" t="s">
        <v>81</v>
      </c>
      <c r="L85" s="3">
        <v>3958400</v>
      </c>
      <c r="M85" s="3">
        <v>0</v>
      </c>
      <c r="N85" t="s">
        <v>29</v>
      </c>
      <c r="O85" t="s">
        <v>40</v>
      </c>
      <c r="P85" t="s">
        <v>31</v>
      </c>
      <c r="Q85" t="s">
        <v>33</v>
      </c>
      <c r="R85" t="s">
        <v>33</v>
      </c>
      <c r="S85" s="3">
        <v>20210900</v>
      </c>
      <c r="T85" t="str">
        <f>TEXT(tblTransactions[[#This Row],[Date]],"mmm")</f>
        <v>Apr</v>
      </c>
      <c r="U85">
        <f>MONTH(tblTransactions[[#This Row],[Date]])</f>
        <v>4</v>
      </c>
      <c r="V85" t="str">
        <f>"Q"&amp;ROUNDUP(MONTH(tblTransactions[[#This Row],[Date]])/3,0)</f>
        <v>Q2</v>
      </c>
    </row>
    <row r="86" spans="1:22" x14ac:dyDescent="0.25">
      <c r="A86" t="s">
        <v>164</v>
      </c>
      <c r="B86" s="2">
        <v>46121</v>
      </c>
      <c r="C86">
        <v>2026</v>
      </c>
      <c r="D86" t="s">
        <v>23</v>
      </c>
      <c r="E86" t="s">
        <v>552</v>
      </c>
      <c r="F86" t="s">
        <v>24</v>
      </c>
      <c r="G86" t="s">
        <v>25</v>
      </c>
      <c r="H86" t="s">
        <v>26</v>
      </c>
      <c r="I86" t="s">
        <v>37</v>
      </c>
      <c r="J86" t="s">
        <v>115</v>
      </c>
      <c r="K86" t="s">
        <v>26</v>
      </c>
      <c r="L86" s="3">
        <v>1390400</v>
      </c>
      <c r="M86" s="3">
        <v>413800</v>
      </c>
      <c r="N86" t="s">
        <v>58</v>
      </c>
      <c r="O86" t="s">
        <v>52</v>
      </c>
      <c r="P86" t="s">
        <v>31</v>
      </c>
      <c r="Q86" t="s">
        <v>32</v>
      </c>
      <c r="R86" t="s">
        <v>33</v>
      </c>
      <c r="S86" s="3">
        <v>18820500</v>
      </c>
      <c r="T86" t="str">
        <f>TEXT(tblTransactions[[#This Row],[Date]],"mmm")</f>
        <v>Apr</v>
      </c>
      <c r="U86">
        <f>MONTH(tblTransactions[[#This Row],[Date]])</f>
        <v>4</v>
      </c>
      <c r="V86" t="str">
        <f>"Q"&amp;ROUNDUP(MONTH(tblTransactions[[#This Row],[Date]])/3,0)</f>
        <v>Q2</v>
      </c>
    </row>
    <row r="87" spans="1:22" x14ac:dyDescent="0.25">
      <c r="A87" t="s">
        <v>165</v>
      </c>
      <c r="B87" s="2">
        <v>46122</v>
      </c>
      <c r="C87">
        <v>2026</v>
      </c>
      <c r="D87" t="s">
        <v>68</v>
      </c>
      <c r="E87" t="s">
        <v>557</v>
      </c>
      <c r="F87" t="s">
        <v>35</v>
      </c>
      <c r="G87" t="s">
        <v>95</v>
      </c>
      <c r="H87" t="s">
        <v>96</v>
      </c>
      <c r="I87" t="s">
        <v>56</v>
      </c>
      <c r="J87" t="s">
        <v>46</v>
      </c>
      <c r="K87" t="s">
        <v>96</v>
      </c>
      <c r="L87" s="3">
        <v>5749700</v>
      </c>
      <c r="M87" s="3">
        <v>0</v>
      </c>
      <c r="N87" t="s">
        <v>29</v>
      </c>
      <c r="O87" t="s">
        <v>40</v>
      </c>
      <c r="P87" t="s">
        <v>31</v>
      </c>
      <c r="Q87" t="s">
        <v>33</v>
      </c>
      <c r="R87" t="s">
        <v>32</v>
      </c>
      <c r="S87" s="3">
        <v>24570200</v>
      </c>
      <c r="T87" t="str">
        <f>TEXT(tblTransactions[[#This Row],[Date]],"mmm")</f>
        <v>Apr</v>
      </c>
      <c r="U87">
        <f>MONTH(tblTransactions[[#This Row],[Date]])</f>
        <v>4</v>
      </c>
      <c r="V87" t="str">
        <f>"Q"&amp;ROUNDUP(MONTH(tblTransactions[[#This Row],[Date]])/3,0)</f>
        <v>Q2</v>
      </c>
    </row>
    <row r="88" spans="1:22" x14ac:dyDescent="0.25">
      <c r="A88" t="s">
        <v>166</v>
      </c>
      <c r="B88" s="2">
        <v>46123</v>
      </c>
      <c r="C88">
        <v>2026</v>
      </c>
      <c r="D88" t="s">
        <v>42</v>
      </c>
      <c r="E88" t="s">
        <v>556</v>
      </c>
      <c r="F88" t="s">
        <v>24</v>
      </c>
      <c r="G88" t="s">
        <v>74</v>
      </c>
      <c r="H88" t="s">
        <v>75</v>
      </c>
      <c r="I88" t="s">
        <v>45</v>
      </c>
      <c r="J88" t="s">
        <v>28</v>
      </c>
      <c r="K88" t="s">
        <v>75</v>
      </c>
      <c r="L88" s="3">
        <v>1309000</v>
      </c>
      <c r="M88" s="3">
        <v>1827000</v>
      </c>
      <c r="N88" t="s">
        <v>58</v>
      </c>
      <c r="O88" t="s">
        <v>109</v>
      </c>
      <c r="P88" t="s">
        <v>31</v>
      </c>
      <c r="Q88" t="s">
        <v>33</v>
      </c>
      <c r="R88" t="s">
        <v>33</v>
      </c>
      <c r="S88" s="3">
        <v>23261200</v>
      </c>
      <c r="T88" t="str">
        <f>TEXT(tblTransactions[[#This Row],[Date]],"mmm")</f>
        <v>Apr</v>
      </c>
      <c r="U88">
        <f>MONTH(tblTransactions[[#This Row],[Date]])</f>
        <v>4</v>
      </c>
      <c r="V88" t="str">
        <f>"Q"&amp;ROUNDUP(MONTH(tblTransactions[[#This Row],[Date]])/3,0)</f>
        <v>Q2</v>
      </c>
    </row>
    <row r="89" spans="1:22" x14ac:dyDescent="0.25">
      <c r="A89" t="s">
        <v>167</v>
      </c>
      <c r="B89" s="2">
        <v>46124</v>
      </c>
      <c r="C89">
        <v>2026</v>
      </c>
      <c r="D89" t="s">
        <v>42</v>
      </c>
      <c r="E89" t="s">
        <v>556</v>
      </c>
      <c r="F89" t="s">
        <v>24</v>
      </c>
      <c r="G89" t="s">
        <v>74</v>
      </c>
      <c r="H89" t="s">
        <v>75</v>
      </c>
      <c r="I89" t="s">
        <v>45</v>
      </c>
      <c r="J89" t="s">
        <v>78</v>
      </c>
      <c r="K89" t="s">
        <v>75</v>
      </c>
      <c r="L89" s="3">
        <v>348400</v>
      </c>
      <c r="M89" s="3">
        <v>295000</v>
      </c>
      <c r="N89" t="s">
        <v>39</v>
      </c>
      <c r="O89" t="s">
        <v>76</v>
      </c>
      <c r="P89" t="s">
        <v>31</v>
      </c>
      <c r="Q89" t="s">
        <v>33</v>
      </c>
      <c r="R89" t="s">
        <v>32</v>
      </c>
      <c r="S89" s="3">
        <v>22912800</v>
      </c>
      <c r="T89" t="str">
        <f>TEXT(tblTransactions[[#This Row],[Date]],"mmm")</f>
        <v>Apr</v>
      </c>
      <c r="U89">
        <f>MONTH(tblTransactions[[#This Row],[Date]])</f>
        <v>4</v>
      </c>
      <c r="V89" t="str">
        <f>"Q"&amp;ROUNDUP(MONTH(tblTransactions[[#This Row],[Date]])/3,0)</f>
        <v>Q2</v>
      </c>
    </row>
    <row r="90" spans="1:22" x14ac:dyDescent="0.25">
      <c r="A90" t="s">
        <v>168</v>
      </c>
      <c r="B90" s="2">
        <v>46126</v>
      </c>
      <c r="C90">
        <v>2026</v>
      </c>
      <c r="D90" t="s">
        <v>23</v>
      </c>
      <c r="E90" t="s">
        <v>557</v>
      </c>
      <c r="F90" t="s">
        <v>35</v>
      </c>
      <c r="G90" t="s">
        <v>36</v>
      </c>
      <c r="H90" t="s">
        <v>36</v>
      </c>
      <c r="I90" t="s">
        <v>37</v>
      </c>
      <c r="J90" t="s">
        <v>38</v>
      </c>
      <c r="K90" t="s">
        <v>36</v>
      </c>
      <c r="L90" s="3">
        <v>4697100</v>
      </c>
      <c r="M90" s="3">
        <v>0</v>
      </c>
      <c r="N90" t="s">
        <v>39</v>
      </c>
      <c r="O90" t="s">
        <v>47</v>
      </c>
      <c r="P90" t="s">
        <v>31</v>
      </c>
      <c r="Q90" t="s">
        <v>33</v>
      </c>
      <c r="R90" t="s">
        <v>33</v>
      </c>
      <c r="S90" s="3">
        <v>27609900</v>
      </c>
      <c r="T90" t="str">
        <f>TEXT(tblTransactions[[#This Row],[Date]],"mmm")</f>
        <v>Apr</v>
      </c>
      <c r="U90">
        <f>MONTH(tblTransactions[[#This Row],[Date]])</f>
        <v>4</v>
      </c>
      <c r="V90" t="str">
        <f>"Q"&amp;ROUNDUP(MONTH(tblTransactions[[#This Row],[Date]])/3,0)</f>
        <v>Q2</v>
      </c>
    </row>
    <row r="91" spans="1:22" x14ac:dyDescent="0.25">
      <c r="A91" t="s">
        <v>169</v>
      </c>
      <c r="B91" s="2">
        <v>46127</v>
      </c>
      <c r="C91">
        <v>2026</v>
      </c>
      <c r="D91" t="s">
        <v>68</v>
      </c>
      <c r="E91" t="s">
        <v>554</v>
      </c>
      <c r="F91" t="s">
        <v>24</v>
      </c>
      <c r="G91" t="s">
        <v>107</v>
      </c>
      <c r="H91" t="s">
        <v>108</v>
      </c>
      <c r="I91" t="s">
        <v>27</v>
      </c>
      <c r="J91" t="s">
        <v>46</v>
      </c>
      <c r="K91" t="s">
        <v>108</v>
      </c>
      <c r="L91" s="3">
        <v>726900</v>
      </c>
      <c r="M91" s="3">
        <v>1520800</v>
      </c>
      <c r="N91" t="s">
        <v>39</v>
      </c>
      <c r="O91" t="s">
        <v>30</v>
      </c>
      <c r="P91" t="s">
        <v>31</v>
      </c>
      <c r="Q91" t="s">
        <v>33</v>
      </c>
      <c r="R91" t="s">
        <v>33</v>
      </c>
      <c r="S91" s="3">
        <v>26883000</v>
      </c>
      <c r="T91" t="str">
        <f>TEXT(tblTransactions[[#This Row],[Date]],"mmm")</f>
        <v>Apr</v>
      </c>
      <c r="U91">
        <f>MONTH(tblTransactions[[#This Row],[Date]])</f>
        <v>4</v>
      </c>
      <c r="V91" t="str">
        <f>"Q"&amp;ROUNDUP(MONTH(tblTransactions[[#This Row],[Date]])/3,0)</f>
        <v>Q2</v>
      </c>
    </row>
    <row r="92" spans="1:22" x14ac:dyDescent="0.25">
      <c r="A92" t="s">
        <v>170</v>
      </c>
      <c r="B92" s="2">
        <v>46128</v>
      </c>
      <c r="C92">
        <v>2026</v>
      </c>
      <c r="D92" t="s">
        <v>23</v>
      </c>
      <c r="E92" t="s">
        <v>553</v>
      </c>
      <c r="F92" t="s">
        <v>24</v>
      </c>
      <c r="G92" t="s">
        <v>107</v>
      </c>
      <c r="H92" t="s">
        <v>108</v>
      </c>
      <c r="I92" t="s">
        <v>56</v>
      </c>
      <c r="J92" t="s">
        <v>78</v>
      </c>
      <c r="K92" t="s">
        <v>108</v>
      </c>
      <c r="L92" s="3">
        <v>1407400</v>
      </c>
      <c r="M92" s="3">
        <v>343000</v>
      </c>
      <c r="N92" t="s">
        <v>51</v>
      </c>
      <c r="O92" t="s">
        <v>52</v>
      </c>
      <c r="P92" t="s">
        <v>31</v>
      </c>
      <c r="Q92" t="s">
        <v>32</v>
      </c>
      <c r="R92" t="s">
        <v>33</v>
      </c>
      <c r="S92" s="3">
        <v>25475600</v>
      </c>
      <c r="T92" t="str">
        <f>TEXT(tblTransactions[[#This Row],[Date]],"mmm")</f>
        <v>Apr</v>
      </c>
      <c r="U92">
        <f>MONTH(tblTransactions[[#This Row],[Date]])</f>
        <v>4</v>
      </c>
      <c r="V92" t="str">
        <f>"Q"&amp;ROUNDUP(MONTH(tblTransactions[[#This Row],[Date]])/3,0)</f>
        <v>Q2</v>
      </c>
    </row>
    <row r="93" spans="1:22" x14ac:dyDescent="0.25">
      <c r="A93" t="s">
        <v>171</v>
      </c>
      <c r="B93" s="2">
        <v>46129</v>
      </c>
      <c r="C93">
        <v>2026</v>
      </c>
      <c r="D93" t="s">
        <v>42</v>
      </c>
      <c r="E93" t="s">
        <v>552</v>
      </c>
      <c r="F93" t="s">
        <v>24</v>
      </c>
      <c r="G93" t="s">
        <v>62</v>
      </c>
      <c r="H93" t="s">
        <v>63</v>
      </c>
      <c r="I93" t="s">
        <v>45</v>
      </c>
      <c r="J93" t="s">
        <v>46</v>
      </c>
      <c r="K93" t="s">
        <v>63</v>
      </c>
      <c r="L93" s="3">
        <v>53400</v>
      </c>
      <c r="M93" s="3">
        <v>1779000</v>
      </c>
      <c r="N93" t="s">
        <v>58</v>
      </c>
      <c r="O93" t="s">
        <v>72</v>
      </c>
      <c r="P93" t="s">
        <v>31</v>
      </c>
      <c r="Q93" t="s">
        <v>33</v>
      </c>
      <c r="R93" t="s">
        <v>33</v>
      </c>
      <c r="S93" s="3">
        <v>25422200</v>
      </c>
      <c r="T93" t="str">
        <f>TEXT(tblTransactions[[#This Row],[Date]],"mmm")</f>
        <v>Apr</v>
      </c>
      <c r="U93">
        <f>MONTH(tblTransactions[[#This Row],[Date]])</f>
        <v>4</v>
      </c>
      <c r="V93" t="str">
        <f>"Q"&amp;ROUNDUP(MONTH(tblTransactions[[#This Row],[Date]])/3,0)</f>
        <v>Q2</v>
      </c>
    </row>
    <row r="94" spans="1:22" x14ac:dyDescent="0.25">
      <c r="A94" t="s">
        <v>172</v>
      </c>
      <c r="B94" s="2">
        <v>46130</v>
      </c>
      <c r="C94">
        <v>2026</v>
      </c>
      <c r="D94" t="s">
        <v>42</v>
      </c>
      <c r="E94" t="s">
        <v>553</v>
      </c>
      <c r="F94" t="s">
        <v>24</v>
      </c>
      <c r="G94" t="s">
        <v>25</v>
      </c>
      <c r="H94" t="s">
        <v>26</v>
      </c>
      <c r="I94" t="s">
        <v>27</v>
      </c>
      <c r="J94" t="s">
        <v>78</v>
      </c>
      <c r="K94" t="s">
        <v>26</v>
      </c>
      <c r="L94" s="3">
        <v>963200</v>
      </c>
      <c r="M94" s="3">
        <v>1337600</v>
      </c>
      <c r="N94" t="s">
        <v>51</v>
      </c>
      <c r="O94" t="s">
        <v>109</v>
      </c>
      <c r="P94" t="s">
        <v>31</v>
      </c>
      <c r="Q94" t="s">
        <v>33</v>
      </c>
      <c r="R94" t="s">
        <v>32</v>
      </c>
      <c r="S94" s="3">
        <v>24459000</v>
      </c>
      <c r="T94" t="str">
        <f>TEXT(tblTransactions[[#This Row],[Date]],"mmm")</f>
        <v>Apr</v>
      </c>
      <c r="U94">
        <f>MONTH(tblTransactions[[#This Row],[Date]])</f>
        <v>4</v>
      </c>
      <c r="V94" t="str">
        <f>"Q"&amp;ROUNDUP(MONTH(tblTransactions[[#This Row],[Date]])/3,0)</f>
        <v>Q2</v>
      </c>
    </row>
    <row r="95" spans="1:22" x14ac:dyDescent="0.25">
      <c r="A95" t="s">
        <v>173</v>
      </c>
      <c r="B95" s="2">
        <v>46131</v>
      </c>
      <c r="C95">
        <v>2026</v>
      </c>
      <c r="D95" t="s">
        <v>23</v>
      </c>
      <c r="E95" t="s">
        <v>554</v>
      </c>
      <c r="F95" t="s">
        <v>24</v>
      </c>
      <c r="G95" t="s">
        <v>54</v>
      </c>
      <c r="H95" t="s">
        <v>55</v>
      </c>
      <c r="I95" t="s">
        <v>56</v>
      </c>
      <c r="J95" t="s">
        <v>78</v>
      </c>
      <c r="K95" t="s">
        <v>55</v>
      </c>
      <c r="L95" s="3">
        <v>287400</v>
      </c>
      <c r="M95" s="3">
        <v>579400</v>
      </c>
      <c r="N95" t="s">
        <v>29</v>
      </c>
      <c r="O95" t="s">
        <v>52</v>
      </c>
      <c r="P95" t="s">
        <v>31</v>
      </c>
      <c r="Q95" t="s">
        <v>32</v>
      </c>
      <c r="R95" t="s">
        <v>32</v>
      </c>
      <c r="S95" s="3">
        <v>24171600</v>
      </c>
      <c r="T95" t="str">
        <f>TEXT(tblTransactions[[#This Row],[Date]],"mmm")</f>
        <v>Apr</v>
      </c>
      <c r="U95">
        <f>MONTH(tblTransactions[[#This Row],[Date]])</f>
        <v>4</v>
      </c>
      <c r="V95" t="str">
        <f>"Q"&amp;ROUNDUP(MONTH(tblTransactions[[#This Row],[Date]])/3,0)</f>
        <v>Q2</v>
      </c>
    </row>
    <row r="96" spans="1:22" x14ac:dyDescent="0.25">
      <c r="A96" t="s">
        <v>174</v>
      </c>
      <c r="B96" s="2">
        <v>46132</v>
      </c>
      <c r="C96">
        <v>2026</v>
      </c>
      <c r="D96" t="s">
        <v>42</v>
      </c>
      <c r="E96" t="s">
        <v>554</v>
      </c>
      <c r="F96" t="s">
        <v>24</v>
      </c>
      <c r="G96" t="s">
        <v>107</v>
      </c>
      <c r="H96" t="s">
        <v>108</v>
      </c>
      <c r="I96" t="s">
        <v>27</v>
      </c>
      <c r="J96" t="s">
        <v>78</v>
      </c>
      <c r="K96" t="s">
        <v>108</v>
      </c>
      <c r="L96" s="3">
        <v>1777600</v>
      </c>
      <c r="M96" s="3">
        <v>1554400</v>
      </c>
      <c r="N96" t="s">
        <v>58</v>
      </c>
      <c r="O96" t="s">
        <v>98</v>
      </c>
      <c r="P96" t="s">
        <v>31</v>
      </c>
      <c r="Q96" t="s">
        <v>32</v>
      </c>
      <c r="R96" t="s">
        <v>33</v>
      </c>
      <c r="S96" s="3">
        <v>22394000</v>
      </c>
      <c r="T96" t="str">
        <f>TEXT(tblTransactions[[#This Row],[Date]],"mmm")</f>
        <v>Apr</v>
      </c>
      <c r="U96">
        <f>MONTH(tblTransactions[[#This Row],[Date]])</f>
        <v>4</v>
      </c>
      <c r="V96" t="str">
        <f>"Q"&amp;ROUNDUP(MONTH(tblTransactions[[#This Row],[Date]])/3,0)</f>
        <v>Q2</v>
      </c>
    </row>
    <row r="97" spans="1:22" x14ac:dyDescent="0.25">
      <c r="A97" t="s">
        <v>175</v>
      </c>
      <c r="B97" s="2">
        <v>46133</v>
      </c>
      <c r="C97">
        <v>2026</v>
      </c>
      <c r="D97" t="s">
        <v>42</v>
      </c>
      <c r="E97" t="s">
        <v>556</v>
      </c>
      <c r="F97" t="s">
        <v>24</v>
      </c>
      <c r="G97" t="s">
        <v>62</v>
      </c>
      <c r="H97" t="s">
        <v>63</v>
      </c>
      <c r="I97" t="s">
        <v>50</v>
      </c>
      <c r="J97" t="s">
        <v>115</v>
      </c>
      <c r="K97" t="s">
        <v>63</v>
      </c>
      <c r="L97" s="3">
        <v>1238600</v>
      </c>
      <c r="M97" s="3">
        <v>1185100</v>
      </c>
      <c r="N97" t="s">
        <v>39</v>
      </c>
      <c r="O97" t="s">
        <v>76</v>
      </c>
      <c r="P97" t="s">
        <v>31</v>
      </c>
      <c r="Q97" t="s">
        <v>32</v>
      </c>
      <c r="R97" t="s">
        <v>33</v>
      </c>
      <c r="S97" s="3">
        <v>21155400</v>
      </c>
      <c r="T97" t="str">
        <f>TEXT(tblTransactions[[#This Row],[Date]],"mmm")</f>
        <v>Apr</v>
      </c>
      <c r="U97">
        <f>MONTH(tblTransactions[[#This Row],[Date]])</f>
        <v>4</v>
      </c>
      <c r="V97" t="str">
        <f>"Q"&amp;ROUNDUP(MONTH(tblTransactions[[#This Row],[Date]])/3,0)</f>
        <v>Q2</v>
      </c>
    </row>
    <row r="98" spans="1:22" x14ac:dyDescent="0.25">
      <c r="A98" t="s">
        <v>176</v>
      </c>
      <c r="B98" s="2">
        <v>46134</v>
      </c>
      <c r="C98">
        <v>2026</v>
      </c>
      <c r="D98" t="s">
        <v>68</v>
      </c>
      <c r="E98" t="s">
        <v>555</v>
      </c>
      <c r="F98" t="s">
        <v>24</v>
      </c>
      <c r="G98" t="s">
        <v>62</v>
      </c>
      <c r="H98" t="s">
        <v>63</v>
      </c>
      <c r="I98" t="s">
        <v>45</v>
      </c>
      <c r="J98" t="s">
        <v>92</v>
      </c>
      <c r="K98" t="s">
        <v>63</v>
      </c>
      <c r="L98" s="3">
        <v>1667600</v>
      </c>
      <c r="M98" s="3">
        <v>1669000</v>
      </c>
      <c r="N98" t="s">
        <v>29</v>
      </c>
      <c r="O98" t="s">
        <v>98</v>
      </c>
      <c r="P98" t="s">
        <v>31</v>
      </c>
      <c r="Q98" t="s">
        <v>33</v>
      </c>
      <c r="R98" t="s">
        <v>33</v>
      </c>
      <c r="S98" s="3">
        <v>19487800</v>
      </c>
      <c r="T98" t="str">
        <f>TEXT(tblTransactions[[#This Row],[Date]],"mmm")</f>
        <v>Apr</v>
      </c>
      <c r="U98">
        <f>MONTH(tblTransactions[[#This Row],[Date]])</f>
        <v>4</v>
      </c>
      <c r="V98" t="str">
        <f>"Q"&amp;ROUNDUP(MONTH(tblTransactions[[#This Row],[Date]])/3,0)</f>
        <v>Q2</v>
      </c>
    </row>
    <row r="99" spans="1:22" x14ac:dyDescent="0.25">
      <c r="A99" t="s">
        <v>177</v>
      </c>
      <c r="B99" s="2">
        <v>46135</v>
      </c>
      <c r="C99">
        <v>2026</v>
      </c>
      <c r="D99" t="s">
        <v>42</v>
      </c>
      <c r="E99" t="s">
        <v>556</v>
      </c>
      <c r="F99" t="s">
        <v>24</v>
      </c>
      <c r="G99" t="s">
        <v>70</v>
      </c>
      <c r="H99" t="s">
        <v>71</v>
      </c>
      <c r="I99" t="s">
        <v>37</v>
      </c>
      <c r="J99" t="s">
        <v>92</v>
      </c>
      <c r="K99" t="s">
        <v>71</v>
      </c>
      <c r="L99" s="3">
        <v>63800</v>
      </c>
      <c r="M99" s="3">
        <v>1490200</v>
      </c>
      <c r="N99" t="s">
        <v>58</v>
      </c>
      <c r="O99" t="s">
        <v>60</v>
      </c>
      <c r="P99" t="s">
        <v>31</v>
      </c>
      <c r="Q99" t="s">
        <v>33</v>
      </c>
      <c r="R99" t="s">
        <v>32</v>
      </c>
      <c r="S99" s="3">
        <v>19424000</v>
      </c>
      <c r="T99" t="str">
        <f>TEXT(tblTransactions[[#This Row],[Date]],"mmm")</f>
        <v>Apr</v>
      </c>
      <c r="U99">
        <f>MONTH(tblTransactions[[#This Row],[Date]])</f>
        <v>4</v>
      </c>
      <c r="V99" t="str">
        <f>"Q"&amp;ROUNDUP(MONTH(tblTransactions[[#This Row],[Date]])/3,0)</f>
        <v>Q2</v>
      </c>
    </row>
    <row r="100" spans="1:22" x14ac:dyDescent="0.25">
      <c r="A100" t="s">
        <v>178</v>
      </c>
      <c r="B100" s="2">
        <v>46136</v>
      </c>
      <c r="C100">
        <v>2026</v>
      </c>
      <c r="D100" t="s">
        <v>68</v>
      </c>
      <c r="E100" t="s">
        <v>557</v>
      </c>
      <c r="F100" t="s">
        <v>24</v>
      </c>
      <c r="G100" t="s">
        <v>74</v>
      </c>
      <c r="H100" t="s">
        <v>75</v>
      </c>
      <c r="I100" t="s">
        <v>56</v>
      </c>
      <c r="J100" t="s">
        <v>78</v>
      </c>
      <c r="K100" t="s">
        <v>75</v>
      </c>
      <c r="L100" s="3">
        <v>1414800</v>
      </c>
      <c r="M100" s="3">
        <v>1658400</v>
      </c>
      <c r="N100" t="s">
        <v>51</v>
      </c>
      <c r="O100" t="s">
        <v>47</v>
      </c>
      <c r="P100" t="s">
        <v>31</v>
      </c>
      <c r="Q100" t="s">
        <v>33</v>
      </c>
      <c r="R100" t="s">
        <v>33</v>
      </c>
      <c r="S100" s="3">
        <v>18009200</v>
      </c>
      <c r="T100" t="str">
        <f>TEXT(tblTransactions[[#This Row],[Date]],"mmm")</f>
        <v>Apr</v>
      </c>
      <c r="U100">
        <f>MONTH(tblTransactions[[#This Row],[Date]])</f>
        <v>4</v>
      </c>
      <c r="V100" t="str">
        <f>"Q"&amp;ROUNDUP(MONTH(tblTransactions[[#This Row],[Date]])/3,0)</f>
        <v>Q2</v>
      </c>
    </row>
    <row r="101" spans="1:22" x14ac:dyDescent="0.25">
      <c r="A101" t="s">
        <v>179</v>
      </c>
      <c r="B101" s="2">
        <v>46137</v>
      </c>
      <c r="C101">
        <v>2026</v>
      </c>
      <c r="D101" t="s">
        <v>68</v>
      </c>
      <c r="E101" t="s">
        <v>557</v>
      </c>
      <c r="F101" t="s">
        <v>24</v>
      </c>
      <c r="G101" t="s">
        <v>70</v>
      </c>
      <c r="H101" t="s">
        <v>71</v>
      </c>
      <c r="I101" t="s">
        <v>42</v>
      </c>
      <c r="J101" t="s">
        <v>38</v>
      </c>
      <c r="K101" t="s">
        <v>71</v>
      </c>
      <c r="L101" s="3">
        <v>1084900</v>
      </c>
      <c r="M101" s="3">
        <v>1193700</v>
      </c>
      <c r="N101" t="s">
        <v>39</v>
      </c>
      <c r="O101" t="s">
        <v>60</v>
      </c>
      <c r="P101" t="s">
        <v>31</v>
      </c>
      <c r="Q101" t="s">
        <v>33</v>
      </c>
      <c r="R101" t="s">
        <v>33</v>
      </c>
      <c r="S101" s="3">
        <v>16924300</v>
      </c>
      <c r="T101" t="str">
        <f>TEXT(tblTransactions[[#This Row],[Date]],"mmm")</f>
        <v>Apr</v>
      </c>
      <c r="U101">
        <f>MONTH(tblTransactions[[#This Row],[Date]])</f>
        <v>4</v>
      </c>
      <c r="V101" t="str">
        <f>"Q"&amp;ROUNDUP(MONTH(tblTransactions[[#This Row],[Date]])/3,0)</f>
        <v>Q2</v>
      </c>
    </row>
    <row r="102" spans="1:22" x14ac:dyDescent="0.25">
      <c r="A102" t="s">
        <v>180</v>
      </c>
      <c r="B102" s="2">
        <v>46138</v>
      </c>
      <c r="C102">
        <v>2026</v>
      </c>
      <c r="D102" t="s">
        <v>68</v>
      </c>
      <c r="E102" t="s">
        <v>552</v>
      </c>
      <c r="F102" t="s">
        <v>24</v>
      </c>
      <c r="G102" t="s">
        <v>101</v>
      </c>
      <c r="H102" t="s">
        <v>102</v>
      </c>
      <c r="I102" t="s">
        <v>27</v>
      </c>
      <c r="J102" t="s">
        <v>64</v>
      </c>
      <c r="K102" t="s">
        <v>102</v>
      </c>
      <c r="L102" s="3">
        <v>473600</v>
      </c>
      <c r="M102" s="3">
        <v>825400</v>
      </c>
      <c r="N102" t="s">
        <v>39</v>
      </c>
      <c r="O102" t="s">
        <v>52</v>
      </c>
      <c r="P102" t="s">
        <v>31</v>
      </c>
      <c r="Q102" t="s">
        <v>33</v>
      </c>
      <c r="R102" t="s">
        <v>33</v>
      </c>
      <c r="S102" s="3">
        <v>16450700</v>
      </c>
      <c r="T102" t="str">
        <f>TEXT(tblTransactions[[#This Row],[Date]],"mmm")</f>
        <v>Apr</v>
      </c>
      <c r="U102">
        <f>MONTH(tblTransactions[[#This Row],[Date]])</f>
        <v>4</v>
      </c>
      <c r="V102" t="str">
        <f>"Q"&amp;ROUNDUP(MONTH(tblTransactions[[#This Row],[Date]])/3,0)</f>
        <v>Q2</v>
      </c>
    </row>
    <row r="103" spans="1:22" x14ac:dyDescent="0.25">
      <c r="A103" t="s">
        <v>181</v>
      </c>
      <c r="B103" s="2">
        <v>46139</v>
      </c>
      <c r="C103">
        <v>2026</v>
      </c>
      <c r="D103" t="s">
        <v>68</v>
      </c>
      <c r="E103" t="s">
        <v>552</v>
      </c>
      <c r="F103" t="s">
        <v>24</v>
      </c>
      <c r="G103" t="s">
        <v>62</v>
      </c>
      <c r="H103" t="s">
        <v>63</v>
      </c>
      <c r="I103" t="s">
        <v>37</v>
      </c>
      <c r="J103" t="s">
        <v>115</v>
      </c>
      <c r="K103" t="s">
        <v>63</v>
      </c>
      <c r="L103" s="3">
        <v>1773500</v>
      </c>
      <c r="M103" s="3">
        <v>241300</v>
      </c>
      <c r="N103" t="s">
        <v>39</v>
      </c>
      <c r="O103" t="s">
        <v>66</v>
      </c>
      <c r="P103" t="s">
        <v>31</v>
      </c>
      <c r="Q103" t="s">
        <v>33</v>
      </c>
      <c r="R103" t="s">
        <v>33</v>
      </c>
      <c r="S103" s="3">
        <v>14677200</v>
      </c>
      <c r="T103" t="str">
        <f>TEXT(tblTransactions[[#This Row],[Date]],"mmm")</f>
        <v>Apr</v>
      </c>
      <c r="U103">
        <f>MONTH(tblTransactions[[#This Row],[Date]])</f>
        <v>4</v>
      </c>
      <c r="V103" t="str">
        <f>"Q"&amp;ROUNDUP(MONTH(tblTransactions[[#This Row],[Date]])/3,0)</f>
        <v>Q2</v>
      </c>
    </row>
    <row r="104" spans="1:22" x14ac:dyDescent="0.25">
      <c r="A104" t="s">
        <v>182</v>
      </c>
      <c r="B104" s="2">
        <v>46141</v>
      </c>
      <c r="C104">
        <v>2026</v>
      </c>
      <c r="D104" t="s">
        <v>68</v>
      </c>
      <c r="E104" t="s">
        <v>555</v>
      </c>
      <c r="F104" t="s">
        <v>24</v>
      </c>
      <c r="G104" t="s">
        <v>54</v>
      </c>
      <c r="H104" t="s">
        <v>55</v>
      </c>
      <c r="I104" t="s">
        <v>37</v>
      </c>
      <c r="J104" t="s">
        <v>78</v>
      </c>
      <c r="K104" t="s">
        <v>55</v>
      </c>
      <c r="L104" s="3">
        <v>1187700</v>
      </c>
      <c r="M104" s="3">
        <v>932000</v>
      </c>
      <c r="N104" t="s">
        <v>29</v>
      </c>
      <c r="O104" t="s">
        <v>66</v>
      </c>
      <c r="P104" t="s">
        <v>31</v>
      </c>
      <c r="Q104" t="s">
        <v>33</v>
      </c>
      <c r="R104" t="s">
        <v>33</v>
      </c>
      <c r="S104" s="3">
        <v>13489500</v>
      </c>
      <c r="T104" t="str">
        <f>TEXT(tblTransactions[[#This Row],[Date]],"mmm")</f>
        <v>Apr</v>
      </c>
      <c r="U104">
        <f>MONTH(tblTransactions[[#This Row],[Date]])</f>
        <v>4</v>
      </c>
      <c r="V104" t="str">
        <f>"Q"&amp;ROUNDUP(MONTH(tblTransactions[[#This Row],[Date]])/3,0)</f>
        <v>Q2</v>
      </c>
    </row>
    <row r="105" spans="1:22" x14ac:dyDescent="0.25">
      <c r="A105" t="s">
        <v>183</v>
      </c>
      <c r="B105" s="2">
        <v>46142</v>
      </c>
      <c r="C105">
        <v>2026</v>
      </c>
      <c r="D105" t="s">
        <v>23</v>
      </c>
      <c r="E105" t="s">
        <v>552</v>
      </c>
      <c r="F105" t="s">
        <v>24</v>
      </c>
      <c r="G105" t="s">
        <v>62</v>
      </c>
      <c r="H105" t="s">
        <v>63</v>
      </c>
      <c r="I105" t="s">
        <v>37</v>
      </c>
      <c r="J105" t="s">
        <v>87</v>
      </c>
      <c r="K105" t="s">
        <v>63</v>
      </c>
      <c r="L105" s="3">
        <v>1024800</v>
      </c>
      <c r="M105" s="3">
        <v>1355400</v>
      </c>
      <c r="N105" t="s">
        <v>29</v>
      </c>
      <c r="O105" t="s">
        <v>47</v>
      </c>
      <c r="P105" t="s">
        <v>31</v>
      </c>
      <c r="Q105" t="s">
        <v>33</v>
      </c>
      <c r="R105" t="s">
        <v>33</v>
      </c>
      <c r="S105" s="3">
        <v>12464700</v>
      </c>
      <c r="T105" t="str">
        <f>TEXT(tblTransactions[[#This Row],[Date]],"mmm")</f>
        <v>Apr</v>
      </c>
      <c r="U105">
        <f>MONTH(tblTransactions[[#This Row],[Date]])</f>
        <v>4</v>
      </c>
      <c r="V105" t="str">
        <f>"Q"&amp;ROUNDUP(MONTH(tblTransactions[[#This Row],[Date]])/3,0)</f>
        <v>Q2</v>
      </c>
    </row>
    <row r="106" spans="1:22" x14ac:dyDescent="0.25">
      <c r="A106" t="s">
        <v>184</v>
      </c>
      <c r="B106" s="2">
        <v>46143</v>
      </c>
      <c r="C106">
        <v>2026</v>
      </c>
      <c r="D106" t="s">
        <v>42</v>
      </c>
      <c r="E106" t="s">
        <v>557</v>
      </c>
      <c r="F106" t="s">
        <v>24</v>
      </c>
      <c r="G106" t="s">
        <v>54</v>
      </c>
      <c r="H106" t="s">
        <v>55</v>
      </c>
      <c r="I106" t="s">
        <v>56</v>
      </c>
      <c r="J106" t="s">
        <v>28</v>
      </c>
      <c r="K106" t="s">
        <v>55</v>
      </c>
      <c r="L106" s="3">
        <v>1060800</v>
      </c>
      <c r="M106" s="3">
        <v>1328000</v>
      </c>
      <c r="N106" t="s">
        <v>58</v>
      </c>
      <c r="O106" t="s">
        <v>72</v>
      </c>
      <c r="P106" t="s">
        <v>31</v>
      </c>
      <c r="Q106" t="s">
        <v>32</v>
      </c>
      <c r="R106" t="s">
        <v>33</v>
      </c>
      <c r="S106" s="3">
        <v>11403900</v>
      </c>
      <c r="T106" t="str">
        <f>TEXT(tblTransactions[[#This Row],[Date]],"mmm")</f>
        <v>May</v>
      </c>
      <c r="U106">
        <f>MONTH(tblTransactions[[#This Row],[Date]])</f>
        <v>5</v>
      </c>
      <c r="V106" t="str">
        <f>"Q"&amp;ROUNDUP(MONTH(tblTransactions[[#This Row],[Date]])/3,0)</f>
        <v>Q2</v>
      </c>
    </row>
    <row r="107" spans="1:22" x14ac:dyDescent="0.25">
      <c r="A107" t="s">
        <v>185</v>
      </c>
      <c r="B107" s="2">
        <v>46144</v>
      </c>
      <c r="C107">
        <v>2026</v>
      </c>
      <c r="D107" t="s">
        <v>68</v>
      </c>
      <c r="E107" t="s">
        <v>554</v>
      </c>
      <c r="F107" t="s">
        <v>24</v>
      </c>
      <c r="G107" t="s">
        <v>43</v>
      </c>
      <c r="H107" t="s">
        <v>44</v>
      </c>
      <c r="I107" t="s">
        <v>50</v>
      </c>
      <c r="J107" t="s">
        <v>115</v>
      </c>
      <c r="K107" t="s">
        <v>44</v>
      </c>
      <c r="L107" s="3">
        <v>1440600</v>
      </c>
      <c r="M107" s="3">
        <v>336100</v>
      </c>
      <c r="N107" t="s">
        <v>39</v>
      </c>
      <c r="O107" t="s">
        <v>76</v>
      </c>
      <c r="P107" t="s">
        <v>31</v>
      </c>
      <c r="Q107" t="s">
        <v>33</v>
      </c>
      <c r="R107" t="s">
        <v>33</v>
      </c>
      <c r="S107" s="3">
        <v>9963300</v>
      </c>
      <c r="T107" t="str">
        <f>TEXT(tblTransactions[[#This Row],[Date]],"mmm")</f>
        <v>May</v>
      </c>
      <c r="U107">
        <f>MONTH(tblTransactions[[#This Row],[Date]])</f>
        <v>5</v>
      </c>
      <c r="V107" t="str">
        <f>"Q"&amp;ROUNDUP(MONTH(tblTransactions[[#This Row],[Date]])/3,0)</f>
        <v>Q2</v>
      </c>
    </row>
    <row r="108" spans="1:22" x14ac:dyDescent="0.25">
      <c r="A108" t="s">
        <v>186</v>
      </c>
      <c r="B108" s="2">
        <v>46145</v>
      </c>
      <c r="C108">
        <v>2026</v>
      </c>
      <c r="D108" t="s">
        <v>23</v>
      </c>
      <c r="E108" t="s">
        <v>557</v>
      </c>
      <c r="F108" t="s">
        <v>24</v>
      </c>
      <c r="G108" t="s">
        <v>25</v>
      </c>
      <c r="H108" t="s">
        <v>26</v>
      </c>
      <c r="I108" t="s">
        <v>42</v>
      </c>
      <c r="J108" t="s">
        <v>46</v>
      </c>
      <c r="K108" t="s">
        <v>26</v>
      </c>
      <c r="L108" s="3">
        <v>1604300</v>
      </c>
      <c r="M108" s="3">
        <v>376900</v>
      </c>
      <c r="N108" t="s">
        <v>51</v>
      </c>
      <c r="O108" t="s">
        <v>72</v>
      </c>
      <c r="P108" t="s">
        <v>31</v>
      </c>
      <c r="Q108" t="s">
        <v>33</v>
      </c>
      <c r="R108" t="s">
        <v>33</v>
      </c>
      <c r="S108" s="3">
        <v>8359000</v>
      </c>
      <c r="T108" t="str">
        <f>TEXT(tblTransactions[[#This Row],[Date]],"mmm")</f>
        <v>May</v>
      </c>
      <c r="U108">
        <f>MONTH(tblTransactions[[#This Row],[Date]])</f>
        <v>5</v>
      </c>
      <c r="V108" t="str">
        <f>"Q"&amp;ROUNDUP(MONTH(tblTransactions[[#This Row],[Date]])/3,0)</f>
        <v>Q2</v>
      </c>
    </row>
    <row r="109" spans="1:22" x14ac:dyDescent="0.25">
      <c r="A109" t="s">
        <v>187</v>
      </c>
      <c r="B109" s="2">
        <v>46146</v>
      </c>
      <c r="C109">
        <v>2026</v>
      </c>
      <c r="D109" t="s">
        <v>42</v>
      </c>
      <c r="E109" t="s">
        <v>554</v>
      </c>
      <c r="F109" t="s">
        <v>35</v>
      </c>
      <c r="G109" t="s">
        <v>95</v>
      </c>
      <c r="H109" t="s">
        <v>96</v>
      </c>
      <c r="I109" t="s">
        <v>42</v>
      </c>
      <c r="J109" t="s">
        <v>87</v>
      </c>
      <c r="K109" t="s">
        <v>96</v>
      </c>
      <c r="L109" s="3">
        <v>6054100</v>
      </c>
      <c r="M109" s="3">
        <v>0</v>
      </c>
      <c r="N109" t="s">
        <v>51</v>
      </c>
      <c r="O109" t="s">
        <v>76</v>
      </c>
      <c r="P109" t="s">
        <v>31</v>
      </c>
      <c r="Q109" t="s">
        <v>33</v>
      </c>
      <c r="R109" t="s">
        <v>32</v>
      </c>
      <c r="S109" s="3">
        <v>14413100</v>
      </c>
      <c r="T109" t="str">
        <f>TEXT(tblTransactions[[#This Row],[Date]],"mmm")</f>
        <v>May</v>
      </c>
      <c r="U109">
        <f>MONTH(tblTransactions[[#This Row],[Date]])</f>
        <v>5</v>
      </c>
      <c r="V109" t="str">
        <f>"Q"&amp;ROUNDUP(MONTH(tblTransactions[[#This Row],[Date]])/3,0)</f>
        <v>Q2</v>
      </c>
    </row>
    <row r="110" spans="1:22" x14ac:dyDescent="0.25">
      <c r="A110" t="s">
        <v>188</v>
      </c>
      <c r="B110" s="2">
        <v>46147</v>
      </c>
      <c r="C110">
        <v>2026</v>
      </c>
      <c r="D110" t="s">
        <v>42</v>
      </c>
      <c r="E110" t="s">
        <v>556</v>
      </c>
      <c r="F110" t="s">
        <v>35</v>
      </c>
      <c r="G110" t="s">
        <v>49</v>
      </c>
      <c r="H110" t="s">
        <v>49</v>
      </c>
      <c r="I110" t="s">
        <v>45</v>
      </c>
      <c r="J110" t="s">
        <v>115</v>
      </c>
      <c r="K110" t="s">
        <v>49</v>
      </c>
      <c r="L110" s="3">
        <v>1487000</v>
      </c>
      <c r="M110" s="3">
        <v>0</v>
      </c>
      <c r="N110" t="s">
        <v>51</v>
      </c>
      <c r="O110" t="s">
        <v>109</v>
      </c>
      <c r="P110" t="s">
        <v>31</v>
      </c>
      <c r="Q110" t="s">
        <v>32</v>
      </c>
      <c r="R110" t="s">
        <v>33</v>
      </c>
      <c r="S110" s="3">
        <v>15900100</v>
      </c>
      <c r="T110" t="str">
        <f>TEXT(tblTransactions[[#This Row],[Date]],"mmm")</f>
        <v>May</v>
      </c>
      <c r="U110">
        <f>MONTH(tblTransactions[[#This Row],[Date]])</f>
        <v>5</v>
      </c>
      <c r="V110" t="str">
        <f>"Q"&amp;ROUNDUP(MONTH(tblTransactions[[#This Row],[Date]])/3,0)</f>
        <v>Q2</v>
      </c>
    </row>
    <row r="111" spans="1:22" x14ac:dyDescent="0.25">
      <c r="A111" t="s">
        <v>189</v>
      </c>
      <c r="B111" s="2">
        <v>46148</v>
      </c>
      <c r="C111">
        <v>2026</v>
      </c>
      <c r="D111" t="s">
        <v>23</v>
      </c>
      <c r="E111" t="s">
        <v>556</v>
      </c>
      <c r="F111" t="s">
        <v>24</v>
      </c>
      <c r="G111" t="s">
        <v>74</v>
      </c>
      <c r="H111" t="s">
        <v>75</v>
      </c>
      <c r="I111" t="s">
        <v>27</v>
      </c>
      <c r="J111" t="s">
        <v>87</v>
      </c>
      <c r="K111" t="s">
        <v>75</v>
      </c>
      <c r="L111" s="3">
        <v>1542600</v>
      </c>
      <c r="M111" s="3">
        <v>1603000</v>
      </c>
      <c r="N111" t="s">
        <v>51</v>
      </c>
      <c r="O111" t="s">
        <v>52</v>
      </c>
      <c r="P111" t="s">
        <v>31</v>
      </c>
      <c r="Q111" t="s">
        <v>33</v>
      </c>
      <c r="R111" t="s">
        <v>33</v>
      </c>
      <c r="S111" s="3">
        <v>14357500</v>
      </c>
      <c r="T111" t="str">
        <f>TEXT(tblTransactions[[#This Row],[Date]],"mmm")</f>
        <v>May</v>
      </c>
      <c r="U111">
        <f>MONTH(tblTransactions[[#This Row],[Date]])</f>
        <v>5</v>
      </c>
      <c r="V111" t="str">
        <f>"Q"&amp;ROUNDUP(MONTH(tblTransactions[[#This Row],[Date]])/3,0)</f>
        <v>Q2</v>
      </c>
    </row>
    <row r="112" spans="1:22" x14ac:dyDescent="0.25">
      <c r="A112" t="s">
        <v>190</v>
      </c>
      <c r="B112" s="2">
        <v>46149</v>
      </c>
      <c r="C112">
        <v>2026</v>
      </c>
      <c r="D112" t="s">
        <v>23</v>
      </c>
      <c r="E112" t="s">
        <v>552</v>
      </c>
      <c r="F112" t="s">
        <v>35</v>
      </c>
      <c r="G112" t="s">
        <v>36</v>
      </c>
      <c r="H112" t="s">
        <v>36</v>
      </c>
      <c r="I112" t="s">
        <v>27</v>
      </c>
      <c r="J112" t="s">
        <v>87</v>
      </c>
      <c r="K112" t="s">
        <v>36</v>
      </c>
      <c r="L112" s="3">
        <v>1513800</v>
      </c>
      <c r="M112" s="3">
        <v>0</v>
      </c>
      <c r="N112" t="s">
        <v>58</v>
      </c>
      <c r="O112" t="s">
        <v>60</v>
      </c>
      <c r="P112" t="s">
        <v>31</v>
      </c>
      <c r="Q112" t="s">
        <v>33</v>
      </c>
      <c r="R112" t="s">
        <v>33</v>
      </c>
      <c r="S112" s="3">
        <v>15871300</v>
      </c>
      <c r="T112" t="str">
        <f>TEXT(tblTransactions[[#This Row],[Date]],"mmm")</f>
        <v>May</v>
      </c>
      <c r="U112">
        <f>MONTH(tblTransactions[[#This Row],[Date]])</f>
        <v>5</v>
      </c>
      <c r="V112" t="str">
        <f>"Q"&amp;ROUNDUP(MONTH(tblTransactions[[#This Row],[Date]])/3,0)</f>
        <v>Q2</v>
      </c>
    </row>
    <row r="113" spans="1:22" x14ac:dyDescent="0.25">
      <c r="A113" t="s">
        <v>191</v>
      </c>
      <c r="B113" s="2">
        <v>46150</v>
      </c>
      <c r="C113">
        <v>2026</v>
      </c>
      <c r="D113" t="s">
        <v>42</v>
      </c>
      <c r="E113" t="s">
        <v>554</v>
      </c>
      <c r="F113" t="s">
        <v>24</v>
      </c>
      <c r="G113" t="s">
        <v>54</v>
      </c>
      <c r="H113" t="s">
        <v>55</v>
      </c>
      <c r="I113" t="s">
        <v>42</v>
      </c>
      <c r="J113" t="s">
        <v>92</v>
      </c>
      <c r="K113" t="s">
        <v>55</v>
      </c>
      <c r="L113" s="3">
        <v>1491900</v>
      </c>
      <c r="M113" s="3">
        <v>1338400</v>
      </c>
      <c r="N113" t="s">
        <v>58</v>
      </c>
      <c r="O113" t="s">
        <v>66</v>
      </c>
      <c r="P113" t="s">
        <v>31</v>
      </c>
      <c r="Q113" t="s">
        <v>33</v>
      </c>
      <c r="R113" t="s">
        <v>33</v>
      </c>
      <c r="S113" s="3">
        <v>14379400</v>
      </c>
      <c r="T113" t="str">
        <f>TEXT(tblTransactions[[#This Row],[Date]],"mmm")</f>
        <v>May</v>
      </c>
      <c r="U113">
        <f>MONTH(tblTransactions[[#This Row],[Date]])</f>
        <v>5</v>
      </c>
      <c r="V113" t="str">
        <f>"Q"&amp;ROUNDUP(MONTH(tblTransactions[[#This Row],[Date]])/3,0)</f>
        <v>Q2</v>
      </c>
    </row>
    <row r="114" spans="1:22" x14ac:dyDescent="0.25">
      <c r="A114" t="s">
        <v>192</v>
      </c>
      <c r="B114" s="2">
        <v>46152</v>
      </c>
      <c r="C114">
        <v>2026</v>
      </c>
      <c r="D114" t="s">
        <v>23</v>
      </c>
      <c r="E114" t="s">
        <v>555</v>
      </c>
      <c r="F114" t="s">
        <v>24</v>
      </c>
      <c r="G114" t="s">
        <v>62</v>
      </c>
      <c r="H114" t="s">
        <v>63</v>
      </c>
      <c r="I114" t="s">
        <v>45</v>
      </c>
      <c r="J114" t="s">
        <v>57</v>
      </c>
      <c r="K114" t="s">
        <v>63</v>
      </c>
      <c r="L114" s="3">
        <v>1213300</v>
      </c>
      <c r="M114" s="3">
        <v>777700</v>
      </c>
      <c r="N114" t="s">
        <v>51</v>
      </c>
      <c r="O114" t="s">
        <v>98</v>
      </c>
      <c r="P114" t="s">
        <v>31</v>
      </c>
      <c r="Q114" t="s">
        <v>32</v>
      </c>
      <c r="R114" t="s">
        <v>32</v>
      </c>
      <c r="S114" s="3">
        <v>13166100</v>
      </c>
      <c r="T114" t="str">
        <f>TEXT(tblTransactions[[#This Row],[Date]],"mmm")</f>
        <v>May</v>
      </c>
      <c r="U114">
        <f>MONTH(tblTransactions[[#This Row],[Date]])</f>
        <v>5</v>
      </c>
      <c r="V114" t="str">
        <f>"Q"&amp;ROUNDUP(MONTH(tblTransactions[[#This Row],[Date]])/3,0)</f>
        <v>Q2</v>
      </c>
    </row>
    <row r="115" spans="1:22" x14ac:dyDescent="0.25">
      <c r="A115" t="s">
        <v>193</v>
      </c>
      <c r="B115" s="2">
        <v>46153</v>
      </c>
      <c r="C115">
        <v>2026</v>
      </c>
      <c r="D115" t="s">
        <v>68</v>
      </c>
      <c r="E115" t="s">
        <v>555</v>
      </c>
      <c r="F115" t="s">
        <v>24</v>
      </c>
      <c r="G115" t="s">
        <v>43</v>
      </c>
      <c r="H115" t="s">
        <v>44</v>
      </c>
      <c r="I115" t="s">
        <v>27</v>
      </c>
      <c r="J115" t="s">
        <v>87</v>
      </c>
      <c r="K115" t="s">
        <v>44</v>
      </c>
      <c r="L115" s="3">
        <v>732900</v>
      </c>
      <c r="M115" s="3">
        <v>454400</v>
      </c>
      <c r="N115" t="s">
        <v>58</v>
      </c>
      <c r="O115" t="s">
        <v>30</v>
      </c>
      <c r="P115" t="s">
        <v>31</v>
      </c>
      <c r="Q115" t="s">
        <v>33</v>
      </c>
      <c r="R115" t="s">
        <v>33</v>
      </c>
      <c r="S115" s="3">
        <v>12433200</v>
      </c>
      <c r="T115" t="str">
        <f>TEXT(tblTransactions[[#This Row],[Date]],"mmm")</f>
        <v>May</v>
      </c>
      <c r="U115">
        <f>MONTH(tblTransactions[[#This Row],[Date]])</f>
        <v>5</v>
      </c>
      <c r="V115" t="str">
        <f>"Q"&amp;ROUNDUP(MONTH(tblTransactions[[#This Row],[Date]])/3,0)</f>
        <v>Q2</v>
      </c>
    </row>
    <row r="116" spans="1:22" x14ac:dyDescent="0.25">
      <c r="A116" t="s">
        <v>194</v>
      </c>
      <c r="B116" s="2">
        <v>46154</v>
      </c>
      <c r="C116">
        <v>2026</v>
      </c>
      <c r="D116" t="s">
        <v>42</v>
      </c>
      <c r="E116" t="s">
        <v>556</v>
      </c>
      <c r="F116" t="s">
        <v>24</v>
      </c>
      <c r="G116" t="s">
        <v>43</v>
      </c>
      <c r="H116" t="s">
        <v>44</v>
      </c>
      <c r="I116" t="s">
        <v>45</v>
      </c>
      <c r="J116" t="s">
        <v>57</v>
      </c>
      <c r="K116" t="s">
        <v>44</v>
      </c>
      <c r="L116" s="3">
        <v>1045000</v>
      </c>
      <c r="M116" s="3">
        <v>563400</v>
      </c>
      <c r="N116" t="s">
        <v>51</v>
      </c>
      <c r="O116" t="s">
        <v>40</v>
      </c>
      <c r="P116" t="s">
        <v>31</v>
      </c>
      <c r="Q116" t="s">
        <v>32</v>
      </c>
      <c r="R116" t="s">
        <v>32</v>
      </c>
      <c r="S116" s="3">
        <v>11388200</v>
      </c>
      <c r="T116" t="str">
        <f>TEXT(tblTransactions[[#This Row],[Date]],"mmm")</f>
        <v>May</v>
      </c>
      <c r="U116">
        <f>MONTH(tblTransactions[[#This Row],[Date]])</f>
        <v>5</v>
      </c>
      <c r="V116" t="str">
        <f>"Q"&amp;ROUNDUP(MONTH(tblTransactions[[#This Row],[Date]])/3,0)</f>
        <v>Q2</v>
      </c>
    </row>
    <row r="117" spans="1:22" x14ac:dyDescent="0.25">
      <c r="A117" t="s">
        <v>195</v>
      </c>
      <c r="B117" s="2">
        <v>46155</v>
      </c>
      <c r="C117">
        <v>2026</v>
      </c>
      <c r="D117" t="s">
        <v>68</v>
      </c>
      <c r="E117" t="s">
        <v>556</v>
      </c>
      <c r="F117" t="s">
        <v>24</v>
      </c>
      <c r="G117" t="s">
        <v>101</v>
      </c>
      <c r="H117" t="s">
        <v>102</v>
      </c>
      <c r="I117" t="s">
        <v>42</v>
      </c>
      <c r="J117" t="s">
        <v>38</v>
      </c>
      <c r="K117" t="s">
        <v>102</v>
      </c>
      <c r="L117" s="3">
        <v>204900</v>
      </c>
      <c r="M117" s="3">
        <v>208900</v>
      </c>
      <c r="N117" t="s">
        <v>29</v>
      </c>
      <c r="O117" t="s">
        <v>30</v>
      </c>
      <c r="P117" t="s">
        <v>31</v>
      </c>
      <c r="Q117" t="s">
        <v>33</v>
      </c>
      <c r="R117" t="s">
        <v>33</v>
      </c>
      <c r="S117" s="3">
        <v>11183300</v>
      </c>
      <c r="T117" t="str">
        <f>TEXT(tblTransactions[[#This Row],[Date]],"mmm")</f>
        <v>May</v>
      </c>
      <c r="U117">
        <f>MONTH(tblTransactions[[#This Row],[Date]])</f>
        <v>5</v>
      </c>
      <c r="V117" t="str">
        <f>"Q"&amp;ROUNDUP(MONTH(tblTransactions[[#This Row],[Date]])/3,0)</f>
        <v>Q2</v>
      </c>
    </row>
    <row r="118" spans="1:22" x14ac:dyDescent="0.25">
      <c r="A118" t="s">
        <v>196</v>
      </c>
      <c r="B118" s="2">
        <v>46156</v>
      </c>
      <c r="C118">
        <v>2026</v>
      </c>
      <c r="D118" t="s">
        <v>23</v>
      </c>
      <c r="E118" t="s">
        <v>555</v>
      </c>
      <c r="F118" t="s">
        <v>24</v>
      </c>
      <c r="G118" t="s">
        <v>101</v>
      </c>
      <c r="H118" t="s">
        <v>102</v>
      </c>
      <c r="I118" t="s">
        <v>37</v>
      </c>
      <c r="J118" t="s">
        <v>64</v>
      </c>
      <c r="K118" t="s">
        <v>102</v>
      </c>
      <c r="L118" s="3">
        <v>563800</v>
      </c>
      <c r="M118" s="3">
        <v>761100</v>
      </c>
      <c r="N118" t="s">
        <v>39</v>
      </c>
      <c r="O118" t="s">
        <v>60</v>
      </c>
      <c r="P118" t="s">
        <v>31</v>
      </c>
      <c r="Q118" t="s">
        <v>33</v>
      </c>
      <c r="R118" t="s">
        <v>32</v>
      </c>
      <c r="S118" s="3">
        <v>10619500</v>
      </c>
      <c r="T118" t="str">
        <f>TEXT(tblTransactions[[#This Row],[Date]],"mmm")</f>
        <v>May</v>
      </c>
      <c r="U118">
        <f>MONTH(tblTransactions[[#This Row],[Date]])</f>
        <v>5</v>
      </c>
      <c r="V118" t="str">
        <f>"Q"&amp;ROUNDUP(MONTH(tblTransactions[[#This Row],[Date]])/3,0)</f>
        <v>Q2</v>
      </c>
    </row>
    <row r="119" spans="1:22" x14ac:dyDescent="0.25">
      <c r="A119" t="s">
        <v>197</v>
      </c>
      <c r="B119" s="2">
        <v>46157</v>
      </c>
      <c r="C119">
        <v>2026</v>
      </c>
      <c r="D119" t="s">
        <v>68</v>
      </c>
      <c r="E119" t="s">
        <v>555</v>
      </c>
      <c r="F119" t="s">
        <v>24</v>
      </c>
      <c r="G119" t="s">
        <v>43</v>
      </c>
      <c r="H119" t="s">
        <v>44</v>
      </c>
      <c r="I119" t="s">
        <v>50</v>
      </c>
      <c r="J119" t="s">
        <v>28</v>
      </c>
      <c r="K119" t="s">
        <v>44</v>
      </c>
      <c r="L119" s="3">
        <v>1416700</v>
      </c>
      <c r="M119" s="3">
        <v>792700</v>
      </c>
      <c r="N119" t="s">
        <v>39</v>
      </c>
      <c r="O119" t="s">
        <v>60</v>
      </c>
      <c r="P119" t="s">
        <v>31</v>
      </c>
      <c r="Q119" t="s">
        <v>32</v>
      </c>
      <c r="R119" t="s">
        <v>33</v>
      </c>
      <c r="S119" s="3">
        <v>9202800</v>
      </c>
      <c r="T119" t="str">
        <f>TEXT(tblTransactions[[#This Row],[Date]],"mmm")</f>
        <v>May</v>
      </c>
      <c r="U119">
        <f>MONTH(tblTransactions[[#This Row],[Date]])</f>
        <v>5</v>
      </c>
      <c r="V119" t="str">
        <f>"Q"&amp;ROUNDUP(MONTH(tblTransactions[[#This Row],[Date]])/3,0)</f>
        <v>Q2</v>
      </c>
    </row>
    <row r="120" spans="1:22" x14ac:dyDescent="0.25">
      <c r="A120" t="s">
        <v>198</v>
      </c>
      <c r="B120" s="2">
        <v>46158</v>
      </c>
      <c r="C120">
        <v>2026</v>
      </c>
      <c r="D120" t="s">
        <v>68</v>
      </c>
      <c r="E120" t="s">
        <v>552</v>
      </c>
      <c r="F120" t="s">
        <v>24</v>
      </c>
      <c r="G120" t="s">
        <v>101</v>
      </c>
      <c r="H120" t="s">
        <v>102</v>
      </c>
      <c r="I120" t="s">
        <v>27</v>
      </c>
      <c r="J120" t="s">
        <v>46</v>
      </c>
      <c r="K120" t="s">
        <v>102</v>
      </c>
      <c r="L120" s="3">
        <v>1016000</v>
      </c>
      <c r="M120" s="3">
        <v>1128300</v>
      </c>
      <c r="N120" t="s">
        <v>58</v>
      </c>
      <c r="O120" t="s">
        <v>76</v>
      </c>
      <c r="P120" t="s">
        <v>31</v>
      </c>
      <c r="Q120" t="s">
        <v>32</v>
      </c>
      <c r="R120" t="s">
        <v>33</v>
      </c>
      <c r="S120" s="3">
        <v>8186800</v>
      </c>
      <c r="T120" t="str">
        <f>TEXT(tblTransactions[[#This Row],[Date]],"mmm")</f>
        <v>May</v>
      </c>
      <c r="U120">
        <f>MONTH(tblTransactions[[#This Row],[Date]])</f>
        <v>5</v>
      </c>
      <c r="V120" t="str">
        <f>"Q"&amp;ROUNDUP(MONTH(tblTransactions[[#This Row],[Date]])/3,0)</f>
        <v>Q2</v>
      </c>
    </row>
    <row r="121" spans="1:22" x14ac:dyDescent="0.25">
      <c r="A121" t="s">
        <v>199</v>
      </c>
      <c r="B121" s="2">
        <v>46159</v>
      </c>
      <c r="C121">
        <v>2026</v>
      </c>
      <c r="D121" t="s">
        <v>42</v>
      </c>
      <c r="E121" t="s">
        <v>555</v>
      </c>
      <c r="F121" t="s">
        <v>24</v>
      </c>
      <c r="G121" t="s">
        <v>43</v>
      </c>
      <c r="H121" t="s">
        <v>44</v>
      </c>
      <c r="I121" t="s">
        <v>37</v>
      </c>
      <c r="J121" t="s">
        <v>115</v>
      </c>
      <c r="K121" t="s">
        <v>44</v>
      </c>
      <c r="L121" s="3">
        <v>929400</v>
      </c>
      <c r="M121" s="3">
        <v>1113600</v>
      </c>
      <c r="N121" t="s">
        <v>29</v>
      </c>
      <c r="O121" t="s">
        <v>72</v>
      </c>
      <c r="P121" t="s">
        <v>31</v>
      </c>
      <c r="Q121" t="s">
        <v>32</v>
      </c>
      <c r="R121" t="s">
        <v>33</v>
      </c>
      <c r="S121" s="3">
        <v>7257400</v>
      </c>
      <c r="T121" t="str">
        <f>TEXT(tblTransactions[[#This Row],[Date]],"mmm")</f>
        <v>May</v>
      </c>
      <c r="U121">
        <f>MONTH(tblTransactions[[#This Row],[Date]])</f>
        <v>5</v>
      </c>
      <c r="V121" t="str">
        <f>"Q"&amp;ROUNDUP(MONTH(tblTransactions[[#This Row],[Date]])/3,0)</f>
        <v>Q2</v>
      </c>
    </row>
    <row r="122" spans="1:22" x14ac:dyDescent="0.25">
      <c r="A122" t="s">
        <v>200</v>
      </c>
      <c r="B122" s="2">
        <v>46160</v>
      </c>
      <c r="C122">
        <v>2026</v>
      </c>
      <c r="D122" t="s">
        <v>42</v>
      </c>
      <c r="E122" t="s">
        <v>557</v>
      </c>
      <c r="F122" t="s">
        <v>24</v>
      </c>
      <c r="G122" t="s">
        <v>43</v>
      </c>
      <c r="H122" t="s">
        <v>44</v>
      </c>
      <c r="I122" t="s">
        <v>27</v>
      </c>
      <c r="J122" t="s">
        <v>28</v>
      </c>
      <c r="K122" t="s">
        <v>44</v>
      </c>
      <c r="L122" s="3">
        <v>1202100</v>
      </c>
      <c r="M122" s="3">
        <v>1882700</v>
      </c>
      <c r="N122" t="s">
        <v>58</v>
      </c>
      <c r="O122" t="s">
        <v>30</v>
      </c>
      <c r="P122" t="s">
        <v>31</v>
      </c>
      <c r="Q122" t="s">
        <v>33</v>
      </c>
      <c r="R122" t="s">
        <v>33</v>
      </c>
      <c r="S122" s="3">
        <v>6055300</v>
      </c>
      <c r="T122" t="str">
        <f>TEXT(tblTransactions[[#This Row],[Date]],"mmm")</f>
        <v>May</v>
      </c>
      <c r="U122">
        <f>MONTH(tblTransactions[[#This Row],[Date]])</f>
        <v>5</v>
      </c>
      <c r="V122" t="str">
        <f>"Q"&amp;ROUNDUP(MONTH(tblTransactions[[#This Row],[Date]])/3,0)</f>
        <v>Q2</v>
      </c>
    </row>
    <row r="123" spans="1:22" x14ac:dyDescent="0.25">
      <c r="A123" t="s">
        <v>201</v>
      </c>
      <c r="B123" s="2">
        <v>46161</v>
      </c>
      <c r="C123">
        <v>2026</v>
      </c>
      <c r="D123" t="s">
        <v>23</v>
      </c>
      <c r="E123" t="s">
        <v>555</v>
      </c>
      <c r="F123" t="s">
        <v>24</v>
      </c>
      <c r="G123" t="s">
        <v>70</v>
      </c>
      <c r="H123" t="s">
        <v>71</v>
      </c>
      <c r="I123" t="s">
        <v>50</v>
      </c>
      <c r="J123" t="s">
        <v>28</v>
      </c>
      <c r="K123" t="s">
        <v>71</v>
      </c>
      <c r="L123" s="3">
        <v>1867700</v>
      </c>
      <c r="M123" s="3">
        <v>1498800</v>
      </c>
      <c r="N123" t="s">
        <v>29</v>
      </c>
      <c r="O123" t="s">
        <v>76</v>
      </c>
      <c r="P123" t="s">
        <v>31</v>
      </c>
      <c r="Q123" t="s">
        <v>32</v>
      </c>
      <c r="R123" t="s">
        <v>33</v>
      </c>
      <c r="S123" s="3">
        <v>4187600</v>
      </c>
      <c r="T123" t="str">
        <f>TEXT(tblTransactions[[#This Row],[Date]],"mmm")</f>
        <v>May</v>
      </c>
      <c r="U123">
        <f>MONTH(tblTransactions[[#This Row],[Date]])</f>
        <v>5</v>
      </c>
      <c r="V123" t="str">
        <f>"Q"&amp;ROUNDUP(MONTH(tblTransactions[[#This Row],[Date]])/3,0)</f>
        <v>Q2</v>
      </c>
    </row>
    <row r="124" spans="1:22" x14ac:dyDescent="0.25">
      <c r="A124" t="s">
        <v>202</v>
      </c>
      <c r="B124" s="2">
        <v>46163</v>
      </c>
      <c r="C124">
        <v>2026</v>
      </c>
      <c r="D124" t="s">
        <v>23</v>
      </c>
      <c r="E124" t="s">
        <v>554</v>
      </c>
      <c r="F124" t="s">
        <v>24</v>
      </c>
      <c r="G124" t="s">
        <v>107</v>
      </c>
      <c r="H124" t="s">
        <v>108</v>
      </c>
      <c r="I124" t="s">
        <v>37</v>
      </c>
      <c r="J124" t="s">
        <v>57</v>
      </c>
      <c r="K124" t="s">
        <v>108</v>
      </c>
      <c r="L124" s="3">
        <v>395500</v>
      </c>
      <c r="M124" s="3">
        <v>243600</v>
      </c>
      <c r="N124" t="s">
        <v>29</v>
      </c>
      <c r="O124" t="s">
        <v>76</v>
      </c>
      <c r="P124" t="s">
        <v>31</v>
      </c>
      <c r="Q124" t="s">
        <v>33</v>
      </c>
      <c r="R124" t="s">
        <v>33</v>
      </c>
      <c r="S124" s="3">
        <v>3792100</v>
      </c>
      <c r="T124" t="str">
        <f>TEXT(tblTransactions[[#This Row],[Date]],"mmm")</f>
        <v>May</v>
      </c>
      <c r="U124">
        <f>MONTH(tblTransactions[[#This Row],[Date]])</f>
        <v>5</v>
      </c>
      <c r="V124" t="str">
        <f>"Q"&amp;ROUNDUP(MONTH(tblTransactions[[#This Row],[Date]])/3,0)</f>
        <v>Q2</v>
      </c>
    </row>
    <row r="125" spans="1:22" x14ac:dyDescent="0.25">
      <c r="A125" t="s">
        <v>203</v>
      </c>
      <c r="B125" s="2">
        <v>46164</v>
      </c>
      <c r="C125">
        <v>2026</v>
      </c>
      <c r="D125" t="s">
        <v>42</v>
      </c>
      <c r="E125" t="s">
        <v>552</v>
      </c>
      <c r="F125" t="s">
        <v>24</v>
      </c>
      <c r="G125" t="s">
        <v>70</v>
      </c>
      <c r="H125" t="s">
        <v>71</v>
      </c>
      <c r="I125" t="s">
        <v>45</v>
      </c>
      <c r="J125" t="s">
        <v>78</v>
      </c>
      <c r="K125" t="s">
        <v>71</v>
      </c>
      <c r="L125" s="3">
        <v>729500</v>
      </c>
      <c r="M125" s="3">
        <v>1478500</v>
      </c>
      <c r="N125" t="s">
        <v>58</v>
      </c>
      <c r="O125" t="s">
        <v>72</v>
      </c>
      <c r="P125" t="s">
        <v>31</v>
      </c>
      <c r="Q125" t="s">
        <v>33</v>
      </c>
      <c r="R125" t="s">
        <v>33</v>
      </c>
      <c r="S125" s="3">
        <v>3062600</v>
      </c>
      <c r="T125" t="str">
        <f>TEXT(tblTransactions[[#This Row],[Date]],"mmm")</f>
        <v>May</v>
      </c>
      <c r="U125">
        <f>MONTH(tblTransactions[[#This Row],[Date]])</f>
        <v>5</v>
      </c>
      <c r="V125" t="str">
        <f>"Q"&amp;ROUNDUP(MONTH(tblTransactions[[#This Row],[Date]])/3,0)</f>
        <v>Q2</v>
      </c>
    </row>
    <row r="126" spans="1:22" x14ac:dyDescent="0.25">
      <c r="A126" t="s">
        <v>204</v>
      </c>
      <c r="B126" s="2">
        <v>46165</v>
      </c>
      <c r="C126">
        <v>2026</v>
      </c>
      <c r="D126" t="s">
        <v>23</v>
      </c>
      <c r="E126" t="s">
        <v>555</v>
      </c>
      <c r="F126" t="s">
        <v>24</v>
      </c>
      <c r="G126" t="s">
        <v>25</v>
      </c>
      <c r="H126" t="s">
        <v>26</v>
      </c>
      <c r="I126" t="s">
        <v>45</v>
      </c>
      <c r="J126" t="s">
        <v>92</v>
      </c>
      <c r="K126" t="s">
        <v>26</v>
      </c>
      <c r="L126" s="3">
        <v>1772600</v>
      </c>
      <c r="M126" s="3">
        <v>885700</v>
      </c>
      <c r="N126" t="s">
        <v>51</v>
      </c>
      <c r="O126" t="s">
        <v>98</v>
      </c>
      <c r="P126" t="s">
        <v>31</v>
      </c>
      <c r="Q126" t="s">
        <v>33</v>
      </c>
      <c r="R126" t="s">
        <v>33</v>
      </c>
      <c r="S126" s="3">
        <v>1290000</v>
      </c>
      <c r="T126" t="str">
        <f>TEXT(tblTransactions[[#This Row],[Date]],"mmm")</f>
        <v>May</v>
      </c>
      <c r="U126">
        <f>MONTH(tblTransactions[[#This Row],[Date]])</f>
        <v>5</v>
      </c>
      <c r="V126" t="str">
        <f>"Q"&amp;ROUNDUP(MONTH(tblTransactions[[#This Row],[Date]])/3,0)</f>
        <v>Q2</v>
      </c>
    </row>
    <row r="127" spans="1:22" x14ac:dyDescent="0.25">
      <c r="A127" t="s">
        <v>205</v>
      </c>
      <c r="B127" s="2">
        <v>46166</v>
      </c>
      <c r="C127">
        <v>2026</v>
      </c>
      <c r="D127" t="s">
        <v>42</v>
      </c>
      <c r="E127" t="s">
        <v>554</v>
      </c>
      <c r="F127" t="s">
        <v>35</v>
      </c>
      <c r="G127" t="s">
        <v>36</v>
      </c>
      <c r="H127" t="s">
        <v>36</v>
      </c>
      <c r="I127" t="s">
        <v>27</v>
      </c>
      <c r="J127" t="s">
        <v>92</v>
      </c>
      <c r="K127" t="s">
        <v>36</v>
      </c>
      <c r="L127" s="3">
        <v>5448100</v>
      </c>
      <c r="M127" s="3">
        <v>0</v>
      </c>
      <c r="N127" t="s">
        <v>58</v>
      </c>
      <c r="O127" t="s">
        <v>66</v>
      </c>
      <c r="P127" t="s">
        <v>31</v>
      </c>
      <c r="Q127" t="s">
        <v>32</v>
      </c>
      <c r="R127" t="s">
        <v>33</v>
      </c>
      <c r="S127" s="3">
        <v>6738100</v>
      </c>
      <c r="T127" t="str">
        <f>TEXT(tblTransactions[[#This Row],[Date]],"mmm")</f>
        <v>May</v>
      </c>
      <c r="U127">
        <f>MONTH(tblTransactions[[#This Row],[Date]])</f>
        <v>5</v>
      </c>
      <c r="V127" t="str">
        <f>"Q"&amp;ROUNDUP(MONTH(tblTransactions[[#This Row],[Date]])/3,0)</f>
        <v>Q2</v>
      </c>
    </row>
    <row r="128" spans="1:22" x14ac:dyDescent="0.25">
      <c r="A128" t="s">
        <v>206</v>
      </c>
      <c r="B128" s="2">
        <v>46167</v>
      </c>
      <c r="C128">
        <v>2026</v>
      </c>
      <c r="D128" t="s">
        <v>23</v>
      </c>
      <c r="E128" t="s">
        <v>555</v>
      </c>
      <c r="F128" t="s">
        <v>35</v>
      </c>
      <c r="G128" t="s">
        <v>36</v>
      </c>
      <c r="H128" t="s">
        <v>36</v>
      </c>
      <c r="I128" t="s">
        <v>37</v>
      </c>
      <c r="J128" t="s">
        <v>57</v>
      </c>
      <c r="K128" t="s">
        <v>36</v>
      </c>
      <c r="L128" s="3">
        <v>464300</v>
      </c>
      <c r="M128" s="3">
        <v>0</v>
      </c>
      <c r="N128" t="s">
        <v>39</v>
      </c>
      <c r="O128" t="s">
        <v>47</v>
      </c>
      <c r="P128" t="s">
        <v>31</v>
      </c>
      <c r="Q128" t="s">
        <v>33</v>
      </c>
      <c r="R128" t="s">
        <v>33</v>
      </c>
      <c r="S128" s="3">
        <v>7202400</v>
      </c>
      <c r="T128" t="str">
        <f>TEXT(tblTransactions[[#This Row],[Date]],"mmm")</f>
        <v>May</v>
      </c>
      <c r="U128">
        <f>MONTH(tblTransactions[[#This Row],[Date]])</f>
        <v>5</v>
      </c>
      <c r="V128" t="str">
        <f>"Q"&amp;ROUNDUP(MONTH(tblTransactions[[#This Row],[Date]])/3,0)</f>
        <v>Q2</v>
      </c>
    </row>
    <row r="129" spans="1:22" x14ac:dyDescent="0.25">
      <c r="A129" t="s">
        <v>207</v>
      </c>
      <c r="B129" s="2">
        <v>46169</v>
      </c>
      <c r="C129">
        <v>2026</v>
      </c>
      <c r="D129" t="s">
        <v>23</v>
      </c>
      <c r="E129" t="s">
        <v>552</v>
      </c>
      <c r="F129" t="s">
        <v>24</v>
      </c>
      <c r="G129" t="s">
        <v>62</v>
      </c>
      <c r="H129" t="s">
        <v>63</v>
      </c>
      <c r="I129" t="s">
        <v>45</v>
      </c>
      <c r="J129" t="s">
        <v>46</v>
      </c>
      <c r="K129" t="s">
        <v>63</v>
      </c>
      <c r="L129" s="3">
        <v>1237300</v>
      </c>
      <c r="M129" s="3">
        <v>732200</v>
      </c>
      <c r="N129" t="s">
        <v>29</v>
      </c>
      <c r="O129" t="s">
        <v>66</v>
      </c>
      <c r="P129" t="s">
        <v>31</v>
      </c>
      <c r="Q129" t="s">
        <v>33</v>
      </c>
      <c r="R129" t="s">
        <v>32</v>
      </c>
      <c r="S129" s="3">
        <v>5965100</v>
      </c>
      <c r="T129" t="str">
        <f>TEXT(tblTransactions[[#This Row],[Date]],"mmm")</f>
        <v>May</v>
      </c>
      <c r="U129">
        <f>MONTH(tblTransactions[[#This Row],[Date]])</f>
        <v>5</v>
      </c>
      <c r="V129" t="str">
        <f>"Q"&amp;ROUNDUP(MONTH(tblTransactions[[#This Row],[Date]])/3,0)</f>
        <v>Q2</v>
      </c>
    </row>
    <row r="130" spans="1:22" x14ac:dyDescent="0.25">
      <c r="A130" t="s">
        <v>208</v>
      </c>
      <c r="B130" s="2">
        <v>46170</v>
      </c>
      <c r="C130">
        <v>2026</v>
      </c>
      <c r="D130" t="s">
        <v>68</v>
      </c>
      <c r="E130" t="s">
        <v>556</v>
      </c>
      <c r="F130" t="s">
        <v>24</v>
      </c>
      <c r="G130" t="s">
        <v>25</v>
      </c>
      <c r="H130" t="s">
        <v>26</v>
      </c>
      <c r="I130" t="s">
        <v>50</v>
      </c>
      <c r="J130" t="s">
        <v>46</v>
      </c>
      <c r="K130" t="s">
        <v>26</v>
      </c>
      <c r="L130" s="3">
        <v>1902700</v>
      </c>
      <c r="M130" s="3">
        <v>780300</v>
      </c>
      <c r="N130" t="s">
        <v>29</v>
      </c>
      <c r="O130" t="s">
        <v>40</v>
      </c>
      <c r="P130" t="s">
        <v>31</v>
      </c>
      <c r="Q130" t="s">
        <v>33</v>
      </c>
      <c r="R130" t="s">
        <v>33</v>
      </c>
      <c r="S130" s="3">
        <v>4062400</v>
      </c>
      <c r="T130" t="str">
        <f>TEXT(tblTransactions[[#This Row],[Date]],"mmm")</f>
        <v>May</v>
      </c>
      <c r="U130">
        <f>MONTH(tblTransactions[[#This Row],[Date]])</f>
        <v>5</v>
      </c>
      <c r="V130" t="str">
        <f>"Q"&amp;ROUNDUP(MONTH(tblTransactions[[#This Row],[Date]])/3,0)</f>
        <v>Q2</v>
      </c>
    </row>
    <row r="131" spans="1:22" x14ac:dyDescent="0.25">
      <c r="A131" t="s">
        <v>209</v>
      </c>
      <c r="B131" s="2">
        <v>46172</v>
      </c>
      <c r="C131">
        <v>2026</v>
      </c>
      <c r="D131" t="s">
        <v>68</v>
      </c>
      <c r="E131" t="s">
        <v>554</v>
      </c>
      <c r="F131" t="s">
        <v>24</v>
      </c>
      <c r="G131" t="s">
        <v>43</v>
      </c>
      <c r="H131" t="s">
        <v>44</v>
      </c>
      <c r="I131" t="s">
        <v>50</v>
      </c>
      <c r="J131" t="s">
        <v>38</v>
      </c>
      <c r="K131" t="s">
        <v>44</v>
      </c>
      <c r="L131" s="3">
        <v>702900</v>
      </c>
      <c r="M131" s="3">
        <v>1685700</v>
      </c>
      <c r="N131" t="s">
        <v>58</v>
      </c>
      <c r="O131" t="s">
        <v>30</v>
      </c>
      <c r="P131" t="s">
        <v>31</v>
      </c>
      <c r="Q131" t="s">
        <v>33</v>
      </c>
      <c r="R131" t="s">
        <v>33</v>
      </c>
      <c r="S131" s="3">
        <v>3359500</v>
      </c>
      <c r="T131" t="str">
        <f>TEXT(tblTransactions[[#This Row],[Date]],"mmm")</f>
        <v>May</v>
      </c>
      <c r="U131">
        <f>MONTH(tblTransactions[[#This Row],[Date]])</f>
        <v>5</v>
      </c>
      <c r="V131" t="str">
        <f>"Q"&amp;ROUNDUP(MONTH(tblTransactions[[#This Row],[Date]])/3,0)</f>
        <v>Q2</v>
      </c>
    </row>
    <row r="132" spans="1:22" x14ac:dyDescent="0.25">
      <c r="A132" t="s">
        <v>210</v>
      </c>
      <c r="B132" s="2">
        <v>46173</v>
      </c>
      <c r="C132">
        <v>2026</v>
      </c>
      <c r="D132" t="s">
        <v>68</v>
      </c>
      <c r="E132" t="s">
        <v>552</v>
      </c>
      <c r="F132" t="s">
        <v>24</v>
      </c>
      <c r="G132" t="s">
        <v>101</v>
      </c>
      <c r="H132" t="s">
        <v>102</v>
      </c>
      <c r="I132" t="s">
        <v>45</v>
      </c>
      <c r="J132" t="s">
        <v>38</v>
      </c>
      <c r="K132" t="s">
        <v>102</v>
      </c>
      <c r="L132" s="3">
        <v>988200</v>
      </c>
      <c r="M132" s="3">
        <v>1694400</v>
      </c>
      <c r="N132" t="s">
        <v>58</v>
      </c>
      <c r="O132" t="s">
        <v>66</v>
      </c>
      <c r="P132" t="s">
        <v>31</v>
      </c>
      <c r="Q132" t="s">
        <v>33</v>
      </c>
      <c r="R132" t="s">
        <v>32</v>
      </c>
      <c r="S132" s="3">
        <v>2371300</v>
      </c>
      <c r="T132" t="str">
        <f>TEXT(tblTransactions[[#This Row],[Date]],"mmm")</f>
        <v>May</v>
      </c>
      <c r="U132">
        <f>MONTH(tblTransactions[[#This Row],[Date]])</f>
        <v>5</v>
      </c>
      <c r="V132" t="str">
        <f>"Q"&amp;ROUNDUP(MONTH(tblTransactions[[#This Row],[Date]])/3,0)</f>
        <v>Q2</v>
      </c>
    </row>
    <row r="133" spans="1:22" x14ac:dyDescent="0.25">
      <c r="A133" t="s">
        <v>211</v>
      </c>
      <c r="B133" s="2">
        <v>46174</v>
      </c>
      <c r="C133">
        <v>2026</v>
      </c>
      <c r="D133" t="s">
        <v>23</v>
      </c>
      <c r="E133" t="s">
        <v>553</v>
      </c>
      <c r="F133" t="s">
        <v>24</v>
      </c>
      <c r="G133" t="s">
        <v>43</v>
      </c>
      <c r="H133" t="s">
        <v>44</v>
      </c>
      <c r="I133" t="s">
        <v>37</v>
      </c>
      <c r="J133" t="s">
        <v>78</v>
      </c>
      <c r="K133" t="s">
        <v>44</v>
      </c>
      <c r="L133" s="3">
        <v>660500</v>
      </c>
      <c r="M133" s="3">
        <v>380000</v>
      </c>
      <c r="N133" t="s">
        <v>51</v>
      </c>
      <c r="O133" t="s">
        <v>47</v>
      </c>
      <c r="P133" t="s">
        <v>31</v>
      </c>
      <c r="Q133" t="s">
        <v>33</v>
      </c>
      <c r="R133" t="s">
        <v>33</v>
      </c>
      <c r="S133" s="3">
        <v>1710800</v>
      </c>
      <c r="T133" t="str">
        <f>TEXT(tblTransactions[[#This Row],[Date]],"mmm")</f>
        <v>Jun</v>
      </c>
      <c r="U133">
        <f>MONTH(tblTransactions[[#This Row],[Date]])</f>
        <v>6</v>
      </c>
      <c r="V133" t="str">
        <f>"Q"&amp;ROUNDUP(MONTH(tblTransactions[[#This Row],[Date]])/3,0)</f>
        <v>Q2</v>
      </c>
    </row>
    <row r="134" spans="1:22" x14ac:dyDescent="0.25">
      <c r="A134" t="s">
        <v>212</v>
      </c>
      <c r="B134" s="2">
        <v>46175</v>
      </c>
      <c r="C134">
        <v>2026</v>
      </c>
      <c r="D134" t="s">
        <v>68</v>
      </c>
      <c r="E134" t="s">
        <v>557</v>
      </c>
      <c r="F134" t="s">
        <v>24</v>
      </c>
      <c r="G134" t="s">
        <v>101</v>
      </c>
      <c r="H134" t="s">
        <v>102</v>
      </c>
      <c r="I134" t="s">
        <v>37</v>
      </c>
      <c r="J134" t="s">
        <v>92</v>
      </c>
      <c r="K134" t="s">
        <v>102</v>
      </c>
      <c r="L134" s="3">
        <v>1133900</v>
      </c>
      <c r="M134" s="3">
        <v>1604000</v>
      </c>
      <c r="N134" t="s">
        <v>51</v>
      </c>
      <c r="O134" t="s">
        <v>109</v>
      </c>
      <c r="P134" t="s">
        <v>31</v>
      </c>
      <c r="Q134" t="s">
        <v>33</v>
      </c>
      <c r="R134" t="s">
        <v>33</v>
      </c>
      <c r="S134" s="3">
        <v>576900</v>
      </c>
      <c r="T134" t="str">
        <f>TEXT(tblTransactions[[#This Row],[Date]],"mmm")</f>
        <v>Jun</v>
      </c>
      <c r="U134">
        <f>MONTH(tblTransactions[[#This Row],[Date]])</f>
        <v>6</v>
      </c>
      <c r="V134" t="str">
        <f>"Q"&amp;ROUNDUP(MONTH(tblTransactions[[#This Row],[Date]])/3,0)</f>
        <v>Q2</v>
      </c>
    </row>
    <row r="135" spans="1:22" x14ac:dyDescent="0.25">
      <c r="A135" t="s">
        <v>213</v>
      </c>
      <c r="B135" s="2">
        <v>46176</v>
      </c>
      <c r="C135">
        <v>2026</v>
      </c>
      <c r="D135" t="s">
        <v>42</v>
      </c>
      <c r="E135" t="s">
        <v>556</v>
      </c>
      <c r="F135" t="s">
        <v>24</v>
      </c>
      <c r="G135" t="s">
        <v>62</v>
      </c>
      <c r="H135" t="s">
        <v>63</v>
      </c>
      <c r="I135" t="s">
        <v>45</v>
      </c>
      <c r="J135" t="s">
        <v>115</v>
      </c>
      <c r="K135" t="s">
        <v>63</v>
      </c>
      <c r="L135" s="3">
        <v>689200</v>
      </c>
      <c r="M135" s="3">
        <v>1500400</v>
      </c>
      <c r="N135" t="s">
        <v>29</v>
      </c>
      <c r="O135" t="s">
        <v>30</v>
      </c>
      <c r="P135" t="s">
        <v>31</v>
      </c>
      <c r="Q135" t="s">
        <v>33</v>
      </c>
      <c r="R135" t="s">
        <v>33</v>
      </c>
      <c r="S135" s="3">
        <v>-112300</v>
      </c>
      <c r="T135" t="str">
        <f>TEXT(tblTransactions[[#This Row],[Date]],"mmm")</f>
        <v>Jun</v>
      </c>
      <c r="U135">
        <f>MONTH(tblTransactions[[#This Row],[Date]])</f>
        <v>6</v>
      </c>
      <c r="V135" t="str">
        <f>"Q"&amp;ROUNDUP(MONTH(tblTransactions[[#This Row],[Date]])/3,0)</f>
        <v>Q2</v>
      </c>
    </row>
    <row r="136" spans="1:22" x14ac:dyDescent="0.25">
      <c r="A136" t="s">
        <v>214</v>
      </c>
      <c r="B136" s="2">
        <v>46178</v>
      </c>
      <c r="C136">
        <v>2026</v>
      </c>
      <c r="D136" t="s">
        <v>68</v>
      </c>
      <c r="E136" t="s">
        <v>554</v>
      </c>
      <c r="F136" t="s">
        <v>35</v>
      </c>
      <c r="G136" t="s">
        <v>36</v>
      </c>
      <c r="H136" t="s">
        <v>36</v>
      </c>
      <c r="I136" t="s">
        <v>56</v>
      </c>
      <c r="J136" t="s">
        <v>46</v>
      </c>
      <c r="K136" t="s">
        <v>36</v>
      </c>
      <c r="L136" s="3">
        <v>1723200</v>
      </c>
      <c r="M136" s="3">
        <v>0</v>
      </c>
      <c r="N136" t="s">
        <v>58</v>
      </c>
      <c r="O136" t="s">
        <v>47</v>
      </c>
      <c r="P136" t="s">
        <v>31</v>
      </c>
      <c r="Q136" t="s">
        <v>32</v>
      </c>
      <c r="R136" t="s">
        <v>33</v>
      </c>
      <c r="S136" s="3">
        <v>1610900</v>
      </c>
      <c r="T136" t="str">
        <f>TEXT(tblTransactions[[#This Row],[Date]],"mmm")</f>
        <v>Jun</v>
      </c>
      <c r="U136">
        <f>MONTH(tblTransactions[[#This Row],[Date]])</f>
        <v>6</v>
      </c>
      <c r="V136" t="str">
        <f>"Q"&amp;ROUNDUP(MONTH(tblTransactions[[#This Row],[Date]])/3,0)</f>
        <v>Q2</v>
      </c>
    </row>
    <row r="137" spans="1:22" x14ac:dyDescent="0.25">
      <c r="A137" t="s">
        <v>215</v>
      </c>
      <c r="B137" s="2">
        <v>46179</v>
      </c>
      <c r="C137">
        <v>2026</v>
      </c>
      <c r="D137" t="s">
        <v>42</v>
      </c>
      <c r="E137" t="s">
        <v>556</v>
      </c>
      <c r="F137" t="s">
        <v>24</v>
      </c>
      <c r="G137" t="s">
        <v>74</v>
      </c>
      <c r="H137" t="s">
        <v>75</v>
      </c>
      <c r="I137" t="s">
        <v>45</v>
      </c>
      <c r="J137" t="s">
        <v>92</v>
      </c>
      <c r="K137" t="s">
        <v>75</v>
      </c>
      <c r="L137" s="3">
        <v>712200</v>
      </c>
      <c r="M137" s="3">
        <v>457300</v>
      </c>
      <c r="N137" t="s">
        <v>51</v>
      </c>
      <c r="O137" t="s">
        <v>76</v>
      </c>
      <c r="P137" t="s">
        <v>31</v>
      </c>
      <c r="Q137" t="s">
        <v>33</v>
      </c>
      <c r="R137" t="s">
        <v>33</v>
      </c>
      <c r="S137" s="3">
        <v>898700</v>
      </c>
      <c r="T137" t="str">
        <f>TEXT(tblTransactions[[#This Row],[Date]],"mmm")</f>
        <v>Jun</v>
      </c>
      <c r="U137">
        <f>MONTH(tblTransactions[[#This Row],[Date]])</f>
        <v>6</v>
      </c>
      <c r="V137" t="str">
        <f>"Q"&amp;ROUNDUP(MONTH(tblTransactions[[#This Row],[Date]])/3,0)</f>
        <v>Q2</v>
      </c>
    </row>
    <row r="138" spans="1:22" x14ac:dyDescent="0.25">
      <c r="A138" t="s">
        <v>216</v>
      </c>
      <c r="B138" s="2">
        <v>46180</v>
      </c>
      <c r="C138">
        <v>2026</v>
      </c>
      <c r="D138" t="s">
        <v>42</v>
      </c>
      <c r="E138" t="s">
        <v>553</v>
      </c>
      <c r="F138" t="s">
        <v>35</v>
      </c>
      <c r="G138" t="s">
        <v>36</v>
      </c>
      <c r="H138" t="s">
        <v>36</v>
      </c>
      <c r="I138" t="s">
        <v>50</v>
      </c>
      <c r="J138" t="s">
        <v>38</v>
      </c>
      <c r="K138" t="s">
        <v>36</v>
      </c>
      <c r="L138" s="3">
        <v>2134800</v>
      </c>
      <c r="M138" s="3">
        <v>0</v>
      </c>
      <c r="N138" t="s">
        <v>29</v>
      </c>
      <c r="O138" t="s">
        <v>60</v>
      </c>
      <c r="P138" t="s">
        <v>31</v>
      </c>
      <c r="Q138" t="s">
        <v>32</v>
      </c>
      <c r="R138" t="s">
        <v>33</v>
      </c>
      <c r="S138" s="3">
        <v>3033500</v>
      </c>
      <c r="T138" t="str">
        <f>TEXT(tblTransactions[[#This Row],[Date]],"mmm")</f>
        <v>Jun</v>
      </c>
      <c r="U138">
        <f>MONTH(tblTransactions[[#This Row],[Date]])</f>
        <v>6</v>
      </c>
      <c r="V138" t="str">
        <f>"Q"&amp;ROUNDUP(MONTH(tblTransactions[[#This Row],[Date]])/3,0)</f>
        <v>Q2</v>
      </c>
    </row>
    <row r="139" spans="1:22" x14ac:dyDescent="0.25">
      <c r="A139" t="s">
        <v>217</v>
      </c>
      <c r="B139" s="2">
        <v>46182</v>
      </c>
      <c r="C139">
        <v>2026</v>
      </c>
      <c r="D139" t="s">
        <v>23</v>
      </c>
      <c r="E139" t="s">
        <v>552</v>
      </c>
      <c r="F139" t="s">
        <v>24</v>
      </c>
      <c r="G139" t="s">
        <v>54</v>
      </c>
      <c r="H139" t="s">
        <v>55</v>
      </c>
      <c r="I139" t="s">
        <v>45</v>
      </c>
      <c r="J139" t="s">
        <v>46</v>
      </c>
      <c r="K139" t="s">
        <v>55</v>
      </c>
      <c r="L139" s="3">
        <v>396600</v>
      </c>
      <c r="M139" s="3">
        <v>1729000</v>
      </c>
      <c r="N139" t="s">
        <v>29</v>
      </c>
      <c r="O139" t="s">
        <v>98</v>
      </c>
      <c r="P139" t="s">
        <v>31</v>
      </c>
      <c r="Q139" t="s">
        <v>33</v>
      </c>
      <c r="R139" t="s">
        <v>33</v>
      </c>
      <c r="S139" s="3">
        <v>2636900</v>
      </c>
      <c r="T139" t="str">
        <f>TEXT(tblTransactions[[#This Row],[Date]],"mmm")</f>
        <v>Jun</v>
      </c>
      <c r="U139">
        <f>MONTH(tblTransactions[[#This Row],[Date]])</f>
        <v>6</v>
      </c>
      <c r="V139" t="str">
        <f>"Q"&amp;ROUNDUP(MONTH(tblTransactions[[#This Row],[Date]])/3,0)</f>
        <v>Q2</v>
      </c>
    </row>
    <row r="140" spans="1:22" x14ac:dyDescent="0.25">
      <c r="A140" t="s">
        <v>218</v>
      </c>
      <c r="B140" s="2">
        <v>46183</v>
      </c>
      <c r="C140">
        <v>2026</v>
      </c>
      <c r="D140" t="s">
        <v>23</v>
      </c>
      <c r="E140" t="s">
        <v>553</v>
      </c>
      <c r="F140" t="s">
        <v>35</v>
      </c>
      <c r="G140" t="s">
        <v>49</v>
      </c>
      <c r="H140" t="s">
        <v>49</v>
      </c>
      <c r="I140" t="s">
        <v>37</v>
      </c>
      <c r="J140" t="s">
        <v>92</v>
      </c>
      <c r="K140" t="s">
        <v>49</v>
      </c>
      <c r="L140" s="3">
        <v>4826700</v>
      </c>
      <c r="M140" s="3">
        <v>0</v>
      </c>
      <c r="N140" t="s">
        <v>58</v>
      </c>
      <c r="O140" t="s">
        <v>40</v>
      </c>
      <c r="P140" t="s">
        <v>31</v>
      </c>
      <c r="Q140" t="s">
        <v>33</v>
      </c>
      <c r="R140" t="s">
        <v>33</v>
      </c>
      <c r="S140" s="3">
        <v>7463600</v>
      </c>
      <c r="T140" t="str">
        <f>TEXT(tblTransactions[[#This Row],[Date]],"mmm")</f>
        <v>Jun</v>
      </c>
      <c r="U140">
        <f>MONTH(tblTransactions[[#This Row],[Date]])</f>
        <v>6</v>
      </c>
      <c r="V140" t="str">
        <f>"Q"&amp;ROUNDUP(MONTH(tblTransactions[[#This Row],[Date]])/3,0)</f>
        <v>Q2</v>
      </c>
    </row>
    <row r="141" spans="1:22" x14ac:dyDescent="0.25">
      <c r="A141" t="s">
        <v>219</v>
      </c>
      <c r="B141" s="2">
        <v>46184</v>
      </c>
      <c r="C141">
        <v>2026</v>
      </c>
      <c r="D141" t="s">
        <v>42</v>
      </c>
      <c r="E141" t="s">
        <v>555</v>
      </c>
      <c r="F141" t="s">
        <v>24</v>
      </c>
      <c r="G141" t="s">
        <v>54</v>
      </c>
      <c r="H141" t="s">
        <v>55</v>
      </c>
      <c r="I141" t="s">
        <v>27</v>
      </c>
      <c r="J141" t="s">
        <v>92</v>
      </c>
      <c r="K141" t="s">
        <v>55</v>
      </c>
      <c r="L141" s="3">
        <v>857200</v>
      </c>
      <c r="M141" s="3">
        <v>1286800</v>
      </c>
      <c r="N141" t="s">
        <v>51</v>
      </c>
      <c r="O141" t="s">
        <v>47</v>
      </c>
      <c r="P141" t="s">
        <v>31</v>
      </c>
      <c r="Q141" t="s">
        <v>33</v>
      </c>
      <c r="R141" t="s">
        <v>33</v>
      </c>
      <c r="S141" s="3">
        <v>6606400</v>
      </c>
      <c r="T141" t="str">
        <f>TEXT(tblTransactions[[#This Row],[Date]],"mmm")</f>
        <v>Jun</v>
      </c>
      <c r="U141">
        <f>MONTH(tblTransactions[[#This Row],[Date]])</f>
        <v>6</v>
      </c>
      <c r="V141" t="str">
        <f>"Q"&amp;ROUNDUP(MONTH(tblTransactions[[#This Row],[Date]])/3,0)</f>
        <v>Q2</v>
      </c>
    </row>
    <row r="142" spans="1:22" x14ac:dyDescent="0.25">
      <c r="A142" t="s">
        <v>220</v>
      </c>
      <c r="B142" s="2">
        <v>46185</v>
      </c>
      <c r="C142">
        <v>2026</v>
      </c>
      <c r="D142" t="s">
        <v>68</v>
      </c>
      <c r="E142" t="s">
        <v>553</v>
      </c>
      <c r="F142" t="s">
        <v>35</v>
      </c>
      <c r="G142" t="s">
        <v>95</v>
      </c>
      <c r="H142" t="s">
        <v>96</v>
      </c>
      <c r="I142" t="s">
        <v>27</v>
      </c>
      <c r="J142" t="s">
        <v>46</v>
      </c>
      <c r="K142" t="s">
        <v>96</v>
      </c>
      <c r="L142" s="3">
        <v>247900</v>
      </c>
      <c r="M142" s="3">
        <v>0</v>
      </c>
      <c r="N142" t="s">
        <v>51</v>
      </c>
      <c r="O142" t="s">
        <v>66</v>
      </c>
      <c r="P142" t="s">
        <v>31</v>
      </c>
      <c r="Q142" t="s">
        <v>32</v>
      </c>
      <c r="R142" t="s">
        <v>32</v>
      </c>
      <c r="S142" s="3">
        <v>6854300</v>
      </c>
      <c r="T142" t="str">
        <f>TEXT(tblTransactions[[#This Row],[Date]],"mmm")</f>
        <v>Jun</v>
      </c>
      <c r="U142">
        <f>MONTH(tblTransactions[[#This Row],[Date]])</f>
        <v>6</v>
      </c>
      <c r="V142" t="str">
        <f>"Q"&amp;ROUNDUP(MONTH(tblTransactions[[#This Row],[Date]])/3,0)</f>
        <v>Q2</v>
      </c>
    </row>
    <row r="143" spans="1:22" x14ac:dyDescent="0.25">
      <c r="A143" t="s">
        <v>221</v>
      </c>
      <c r="B143" s="2">
        <v>46186</v>
      </c>
      <c r="C143">
        <v>2026</v>
      </c>
      <c r="D143" t="s">
        <v>23</v>
      </c>
      <c r="E143" t="s">
        <v>554</v>
      </c>
      <c r="F143" t="s">
        <v>24</v>
      </c>
      <c r="G143" t="s">
        <v>43</v>
      </c>
      <c r="H143" t="s">
        <v>44</v>
      </c>
      <c r="I143" t="s">
        <v>45</v>
      </c>
      <c r="J143" t="s">
        <v>115</v>
      </c>
      <c r="K143" t="s">
        <v>44</v>
      </c>
      <c r="L143" s="3">
        <v>1462900</v>
      </c>
      <c r="M143" s="3">
        <v>1110500</v>
      </c>
      <c r="N143" t="s">
        <v>29</v>
      </c>
      <c r="O143" t="s">
        <v>60</v>
      </c>
      <c r="P143" t="s">
        <v>31</v>
      </c>
      <c r="Q143" t="s">
        <v>33</v>
      </c>
      <c r="R143" t="s">
        <v>33</v>
      </c>
      <c r="S143" s="3">
        <v>5391400</v>
      </c>
      <c r="T143" t="str">
        <f>TEXT(tblTransactions[[#This Row],[Date]],"mmm")</f>
        <v>Jun</v>
      </c>
      <c r="U143">
        <f>MONTH(tblTransactions[[#This Row],[Date]])</f>
        <v>6</v>
      </c>
      <c r="V143" t="str">
        <f>"Q"&amp;ROUNDUP(MONTH(tblTransactions[[#This Row],[Date]])/3,0)</f>
        <v>Q2</v>
      </c>
    </row>
    <row r="144" spans="1:22" x14ac:dyDescent="0.25">
      <c r="A144" t="s">
        <v>222</v>
      </c>
      <c r="B144" s="2">
        <v>46187</v>
      </c>
      <c r="C144">
        <v>2026</v>
      </c>
      <c r="D144" t="s">
        <v>23</v>
      </c>
      <c r="E144" t="s">
        <v>554</v>
      </c>
      <c r="F144" t="s">
        <v>24</v>
      </c>
      <c r="G144" t="s">
        <v>70</v>
      </c>
      <c r="H144" t="s">
        <v>71</v>
      </c>
      <c r="I144" t="s">
        <v>42</v>
      </c>
      <c r="J144" t="s">
        <v>115</v>
      </c>
      <c r="K144" t="s">
        <v>71</v>
      </c>
      <c r="L144" s="3">
        <v>877700</v>
      </c>
      <c r="M144" s="3">
        <v>985900</v>
      </c>
      <c r="N144" t="s">
        <v>39</v>
      </c>
      <c r="O144" t="s">
        <v>66</v>
      </c>
      <c r="P144" t="s">
        <v>31</v>
      </c>
      <c r="Q144" t="s">
        <v>32</v>
      </c>
      <c r="R144" t="s">
        <v>33</v>
      </c>
      <c r="S144" s="3">
        <v>4513700</v>
      </c>
      <c r="T144" t="str">
        <f>TEXT(tblTransactions[[#This Row],[Date]],"mmm")</f>
        <v>Jun</v>
      </c>
      <c r="U144">
        <f>MONTH(tblTransactions[[#This Row],[Date]])</f>
        <v>6</v>
      </c>
      <c r="V144" t="str">
        <f>"Q"&amp;ROUNDUP(MONTH(tblTransactions[[#This Row],[Date]])/3,0)</f>
        <v>Q2</v>
      </c>
    </row>
    <row r="145" spans="1:22" x14ac:dyDescent="0.25">
      <c r="A145" t="s">
        <v>223</v>
      </c>
      <c r="B145" s="2">
        <v>46188</v>
      </c>
      <c r="C145">
        <v>2026</v>
      </c>
      <c r="D145" t="s">
        <v>68</v>
      </c>
      <c r="E145" t="s">
        <v>554</v>
      </c>
      <c r="F145" t="s">
        <v>35</v>
      </c>
      <c r="G145" t="s">
        <v>95</v>
      </c>
      <c r="H145" t="s">
        <v>96</v>
      </c>
      <c r="I145" t="s">
        <v>27</v>
      </c>
      <c r="J145" t="s">
        <v>87</v>
      </c>
      <c r="K145" t="s">
        <v>96</v>
      </c>
      <c r="L145" s="3">
        <v>817400</v>
      </c>
      <c r="M145" s="3">
        <v>0</v>
      </c>
      <c r="N145" t="s">
        <v>58</v>
      </c>
      <c r="O145" t="s">
        <v>30</v>
      </c>
      <c r="P145" t="s">
        <v>31</v>
      </c>
      <c r="Q145" t="s">
        <v>33</v>
      </c>
      <c r="R145" t="s">
        <v>33</v>
      </c>
      <c r="S145" s="3">
        <v>5331100</v>
      </c>
      <c r="T145" t="str">
        <f>TEXT(tblTransactions[[#This Row],[Date]],"mmm")</f>
        <v>Jun</v>
      </c>
      <c r="U145">
        <f>MONTH(tblTransactions[[#This Row],[Date]])</f>
        <v>6</v>
      </c>
      <c r="V145" t="str">
        <f>"Q"&amp;ROUNDUP(MONTH(tblTransactions[[#This Row],[Date]])/3,0)</f>
        <v>Q2</v>
      </c>
    </row>
    <row r="146" spans="1:22" x14ac:dyDescent="0.25">
      <c r="A146" t="s">
        <v>224</v>
      </c>
      <c r="B146" s="2">
        <v>46189</v>
      </c>
      <c r="C146">
        <v>2026</v>
      </c>
      <c r="D146" t="s">
        <v>68</v>
      </c>
      <c r="E146" t="s">
        <v>556</v>
      </c>
      <c r="F146" t="s">
        <v>24</v>
      </c>
      <c r="G146" t="s">
        <v>43</v>
      </c>
      <c r="H146" t="s">
        <v>44</v>
      </c>
      <c r="I146" t="s">
        <v>27</v>
      </c>
      <c r="J146" t="s">
        <v>92</v>
      </c>
      <c r="K146" t="s">
        <v>44</v>
      </c>
      <c r="L146" s="3">
        <v>454800</v>
      </c>
      <c r="M146" s="3">
        <v>1836200</v>
      </c>
      <c r="N146" t="s">
        <v>51</v>
      </c>
      <c r="O146" t="s">
        <v>47</v>
      </c>
      <c r="P146" t="s">
        <v>31</v>
      </c>
      <c r="Q146" t="s">
        <v>33</v>
      </c>
      <c r="R146" t="s">
        <v>32</v>
      </c>
      <c r="S146" s="3">
        <v>4876300</v>
      </c>
      <c r="T146" t="str">
        <f>TEXT(tblTransactions[[#This Row],[Date]],"mmm")</f>
        <v>Jun</v>
      </c>
      <c r="U146">
        <f>MONTH(tblTransactions[[#This Row],[Date]])</f>
        <v>6</v>
      </c>
      <c r="V146" t="str">
        <f>"Q"&amp;ROUNDUP(MONTH(tblTransactions[[#This Row],[Date]])/3,0)</f>
        <v>Q2</v>
      </c>
    </row>
    <row r="147" spans="1:22" x14ac:dyDescent="0.25">
      <c r="A147" t="s">
        <v>225</v>
      </c>
      <c r="B147" s="2">
        <v>46190</v>
      </c>
      <c r="C147">
        <v>2026</v>
      </c>
      <c r="D147" t="s">
        <v>23</v>
      </c>
      <c r="E147" t="s">
        <v>553</v>
      </c>
      <c r="F147" t="s">
        <v>24</v>
      </c>
      <c r="G147" t="s">
        <v>107</v>
      </c>
      <c r="H147" t="s">
        <v>108</v>
      </c>
      <c r="I147" t="s">
        <v>56</v>
      </c>
      <c r="J147" t="s">
        <v>87</v>
      </c>
      <c r="K147" t="s">
        <v>108</v>
      </c>
      <c r="L147" s="3">
        <v>1509900</v>
      </c>
      <c r="M147" s="3">
        <v>917300</v>
      </c>
      <c r="N147" t="s">
        <v>39</v>
      </c>
      <c r="O147" t="s">
        <v>66</v>
      </c>
      <c r="P147" t="s">
        <v>31</v>
      </c>
      <c r="Q147" t="s">
        <v>33</v>
      </c>
      <c r="R147" t="s">
        <v>32</v>
      </c>
      <c r="S147" s="3">
        <v>3366400</v>
      </c>
      <c r="T147" t="str">
        <f>TEXT(tblTransactions[[#This Row],[Date]],"mmm")</f>
        <v>Jun</v>
      </c>
      <c r="U147">
        <f>MONTH(tblTransactions[[#This Row],[Date]])</f>
        <v>6</v>
      </c>
      <c r="V147" t="str">
        <f>"Q"&amp;ROUNDUP(MONTH(tblTransactions[[#This Row],[Date]])/3,0)</f>
        <v>Q2</v>
      </c>
    </row>
    <row r="148" spans="1:22" x14ac:dyDescent="0.25">
      <c r="A148" t="s">
        <v>226</v>
      </c>
      <c r="B148" s="2">
        <v>46192</v>
      </c>
      <c r="C148">
        <v>2026</v>
      </c>
      <c r="D148" t="s">
        <v>42</v>
      </c>
      <c r="E148" t="s">
        <v>554</v>
      </c>
      <c r="F148" t="s">
        <v>35</v>
      </c>
      <c r="G148" t="s">
        <v>49</v>
      </c>
      <c r="H148" t="s">
        <v>49</v>
      </c>
      <c r="I148" t="s">
        <v>42</v>
      </c>
      <c r="J148" t="s">
        <v>115</v>
      </c>
      <c r="K148" t="s">
        <v>49</v>
      </c>
      <c r="L148" s="3">
        <v>4278300</v>
      </c>
      <c r="M148" s="3">
        <v>0</v>
      </c>
      <c r="N148" t="s">
        <v>39</v>
      </c>
      <c r="O148" t="s">
        <v>72</v>
      </c>
      <c r="P148" t="s">
        <v>31</v>
      </c>
      <c r="Q148" t="s">
        <v>33</v>
      </c>
      <c r="R148" t="s">
        <v>33</v>
      </c>
      <c r="S148" s="3">
        <v>7644700</v>
      </c>
      <c r="T148" t="str">
        <f>TEXT(tblTransactions[[#This Row],[Date]],"mmm")</f>
        <v>Jun</v>
      </c>
      <c r="U148">
        <f>MONTH(tblTransactions[[#This Row],[Date]])</f>
        <v>6</v>
      </c>
      <c r="V148" t="str">
        <f>"Q"&amp;ROUNDUP(MONTH(tblTransactions[[#This Row],[Date]])/3,0)</f>
        <v>Q2</v>
      </c>
    </row>
    <row r="149" spans="1:22" x14ac:dyDescent="0.25">
      <c r="A149" t="s">
        <v>227</v>
      </c>
      <c r="B149" s="2">
        <v>46193</v>
      </c>
      <c r="C149">
        <v>2026</v>
      </c>
      <c r="D149" t="s">
        <v>23</v>
      </c>
      <c r="E149" t="s">
        <v>554</v>
      </c>
      <c r="F149" t="s">
        <v>24</v>
      </c>
      <c r="G149" t="s">
        <v>62</v>
      </c>
      <c r="H149" t="s">
        <v>63</v>
      </c>
      <c r="I149" t="s">
        <v>45</v>
      </c>
      <c r="J149" t="s">
        <v>78</v>
      </c>
      <c r="K149" t="s">
        <v>63</v>
      </c>
      <c r="L149" s="3">
        <v>1252800</v>
      </c>
      <c r="M149" s="3">
        <v>1613600</v>
      </c>
      <c r="N149" t="s">
        <v>51</v>
      </c>
      <c r="O149" t="s">
        <v>52</v>
      </c>
      <c r="P149" t="s">
        <v>31</v>
      </c>
      <c r="Q149" t="s">
        <v>33</v>
      </c>
      <c r="R149" t="s">
        <v>33</v>
      </c>
      <c r="S149" s="3">
        <v>6391900</v>
      </c>
      <c r="T149" t="str">
        <f>TEXT(tblTransactions[[#This Row],[Date]],"mmm")</f>
        <v>Jun</v>
      </c>
      <c r="U149">
        <f>MONTH(tblTransactions[[#This Row],[Date]])</f>
        <v>6</v>
      </c>
      <c r="V149" t="str">
        <f>"Q"&amp;ROUNDUP(MONTH(tblTransactions[[#This Row],[Date]])/3,0)</f>
        <v>Q2</v>
      </c>
    </row>
    <row r="150" spans="1:22" x14ac:dyDescent="0.25">
      <c r="A150" t="s">
        <v>228</v>
      </c>
      <c r="B150" s="2">
        <v>46194</v>
      </c>
      <c r="C150">
        <v>2026</v>
      </c>
      <c r="D150" t="s">
        <v>23</v>
      </c>
      <c r="E150" t="s">
        <v>557</v>
      </c>
      <c r="F150" t="s">
        <v>35</v>
      </c>
      <c r="G150" t="s">
        <v>36</v>
      </c>
      <c r="H150" t="s">
        <v>36</v>
      </c>
      <c r="I150" t="s">
        <v>56</v>
      </c>
      <c r="J150" t="s">
        <v>92</v>
      </c>
      <c r="K150" t="s">
        <v>36</v>
      </c>
      <c r="L150" s="3">
        <v>6301500</v>
      </c>
      <c r="M150" s="3">
        <v>0</v>
      </c>
      <c r="N150" t="s">
        <v>51</v>
      </c>
      <c r="O150" t="s">
        <v>60</v>
      </c>
      <c r="P150" t="s">
        <v>31</v>
      </c>
      <c r="Q150" t="s">
        <v>33</v>
      </c>
      <c r="R150" t="s">
        <v>33</v>
      </c>
      <c r="S150" s="3">
        <v>12693400</v>
      </c>
      <c r="T150" t="str">
        <f>TEXT(tblTransactions[[#This Row],[Date]],"mmm")</f>
        <v>Jun</v>
      </c>
      <c r="U150">
        <f>MONTH(tblTransactions[[#This Row],[Date]])</f>
        <v>6</v>
      </c>
      <c r="V150" t="str">
        <f>"Q"&amp;ROUNDUP(MONTH(tblTransactions[[#This Row],[Date]])/3,0)</f>
        <v>Q2</v>
      </c>
    </row>
    <row r="151" spans="1:22" x14ac:dyDescent="0.25">
      <c r="A151" t="s">
        <v>229</v>
      </c>
      <c r="B151" s="2">
        <v>46197</v>
      </c>
      <c r="C151">
        <v>2026</v>
      </c>
      <c r="D151" t="s">
        <v>42</v>
      </c>
      <c r="E151" t="s">
        <v>552</v>
      </c>
      <c r="F151" t="s">
        <v>24</v>
      </c>
      <c r="G151" t="s">
        <v>74</v>
      </c>
      <c r="H151" t="s">
        <v>75</v>
      </c>
      <c r="I151" t="s">
        <v>42</v>
      </c>
      <c r="J151" t="s">
        <v>46</v>
      </c>
      <c r="K151" t="s">
        <v>75</v>
      </c>
      <c r="L151" s="3">
        <v>1951600</v>
      </c>
      <c r="M151" s="3">
        <v>733900</v>
      </c>
      <c r="N151" t="s">
        <v>58</v>
      </c>
      <c r="O151" t="s">
        <v>109</v>
      </c>
      <c r="P151" t="s">
        <v>31</v>
      </c>
      <c r="Q151" t="s">
        <v>32</v>
      </c>
      <c r="R151" t="s">
        <v>32</v>
      </c>
      <c r="S151" s="3">
        <v>10741800</v>
      </c>
      <c r="T151" t="str">
        <f>TEXT(tblTransactions[[#This Row],[Date]],"mmm")</f>
        <v>Jun</v>
      </c>
      <c r="U151">
        <f>MONTH(tblTransactions[[#This Row],[Date]])</f>
        <v>6</v>
      </c>
      <c r="V151" t="str">
        <f>"Q"&amp;ROUNDUP(MONTH(tblTransactions[[#This Row],[Date]])/3,0)</f>
        <v>Q2</v>
      </c>
    </row>
    <row r="152" spans="1:22" x14ac:dyDescent="0.25">
      <c r="A152" t="s">
        <v>230</v>
      </c>
      <c r="B152" s="2">
        <v>46200</v>
      </c>
      <c r="C152">
        <v>2026</v>
      </c>
      <c r="D152" t="s">
        <v>68</v>
      </c>
      <c r="E152" t="s">
        <v>553</v>
      </c>
      <c r="F152" t="s">
        <v>24</v>
      </c>
      <c r="G152" t="s">
        <v>101</v>
      </c>
      <c r="H152" t="s">
        <v>102</v>
      </c>
      <c r="I152" t="s">
        <v>50</v>
      </c>
      <c r="J152" t="s">
        <v>92</v>
      </c>
      <c r="K152" t="s">
        <v>102</v>
      </c>
      <c r="L152" s="3">
        <v>441300</v>
      </c>
      <c r="M152" s="3">
        <v>186000</v>
      </c>
      <c r="N152" t="s">
        <v>39</v>
      </c>
      <c r="O152" t="s">
        <v>60</v>
      </c>
      <c r="P152" t="s">
        <v>31</v>
      </c>
      <c r="Q152" t="s">
        <v>33</v>
      </c>
      <c r="R152" t="s">
        <v>33</v>
      </c>
      <c r="S152" s="3">
        <v>10300500</v>
      </c>
      <c r="T152" t="str">
        <f>TEXT(tblTransactions[[#This Row],[Date]],"mmm")</f>
        <v>Jun</v>
      </c>
      <c r="U152">
        <f>MONTH(tblTransactions[[#This Row],[Date]])</f>
        <v>6</v>
      </c>
      <c r="V152" t="str">
        <f>"Q"&amp;ROUNDUP(MONTH(tblTransactions[[#This Row],[Date]])/3,0)</f>
        <v>Q2</v>
      </c>
    </row>
    <row r="153" spans="1:22" x14ac:dyDescent="0.25">
      <c r="A153" t="s">
        <v>231</v>
      </c>
      <c r="B153" s="2">
        <v>46201</v>
      </c>
      <c r="C153">
        <v>2026</v>
      </c>
      <c r="D153" t="s">
        <v>23</v>
      </c>
      <c r="E153" t="s">
        <v>554</v>
      </c>
      <c r="F153" t="s">
        <v>24</v>
      </c>
      <c r="G153" t="s">
        <v>107</v>
      </c>
      <c r="H153" t="s">
        <v>108</v>
      </c>
      <c r="I153" t="s">
        <v>56</v>
      </c>
      <c r="J153" t="s">
        <v>87</v>
      </c>
      <c r="K153" t="s">
        <v>108</v>
      </c>
      <c r="L153" s="3">
        <v>1326900</v>
      </c>
      <c r="M153" s="3">
        <v>255500</v>
      </c>
      <c r="N153" t="s">
        <v>58</v>
      </c>
      <c r="O153" t="s">
        <v>66</v>
      </c>
      <c r="P153" t="s">
        <v>31</v>
      </c>
      <c r="Q153" t="s">
        <v>33</v>
      </c>
      <c r="R153" t="s">
        <v>33</v>
      </c>
      <c r="S153" s="3">
        <v>8973600</v>
      </c>
      <c r="T153" t="str">
        <f>TEXT(tblTransactions[[#This Row],[Date]],"mmm")</f>
        <v>Jun</v>
      </c>
      <c r="U153">
        <f>MONTH(tblTransactions[[#This Row],[Date]])</f>
        <v>6</v>
      </c>
      <c r="V153" t="str">
        <f>"Q"&amp;ROUNDUP(MONTH(tblTransactions[[#This Row],[Date]])/3,0)</f>
        <v>Q2</v>
      </c>
    </row>
    <row r="154" spans="1:22" x14ac:dyDescent="0.25">
      <c r="A154" t="s">
        <v>232</v>
      </c>
      <c r="B154" s="2">
        <v>46203</v>
      </c>
      <c r="C154">
        <v>2026</v>
      </c>
      <c r="D154" t="s">
        <v>68</v>
      </c>
      <c r="E154" t="s">
        <v>557</v>
      </c>
      <c r="F154" t="s">
        <v>24</v>
      </c>
      <c r="G154" t="s">
        <v>101</v>
      </c>
      <c r="H154" t="s">
        <v>102</v>
      </c>
      <c r="I154" t="s">
        <v>37</v>
      </c>
      <c r="J154" t="s">
        <v>64</v>
      </c>
      <c r="K154" t="s">
        <v>102</v>
      </c>
      <c r="L154" s="3">
        <v>114000</v>
      </c>
      <c r="M154" s="3">
        <v>1091400</v>
      </c>
      <c r="N154" t="s">
        <v>51</v>
      </c>
      <c r="O154" t="s">
        <v>66</v>
      </c>
      <c r="P154" t="s">
        <v>31</v>
      </c>
      <c r="Q154" t="s">
        <v>32</v>
      </c>
      <c r="R154" t="s">
        <v>33</v>
      </c>
      <c r="S154" s="3">
        <v>8859600</v>
      </c>
      <c r="T154" t="str">
        <f>TEXT(tblTransactions[[#This Row],[Date]],"mmm")</f>
        <v>Jun</v>
      </c>
      <c r="U154">
        <f>MONTH(tblTransactions[[#This Row],[Date]])</f>
        <v>6</v>
      </c>
      <c r="V154" t="str">
        <f>"Q"&amp;ROUNDUP(MONTH(tblTransactions[[#This Row],[Date]])/3,0)</f>
        <v>Q2</v>
      </c>
    </row>
    <row r="155" spans="1:22" x14ac:dyDescent="0.25">
      <c r="A155" t="s">
        <v>233</v>
      </c>
      <c r="B155" s="2">
        <v>46205</v>
      </c>
      <c r="C155">
        <v>2026</v>
      </c>
      <c r="D155" t="s">
        <v>42</v>
      </c>
      <c r="E155" t="s">
        <v>552</v>
      </c>
      <c r="F155" t="s">
        <v>24</v>
      </c>
      <c r="G155" t="s">
        <v>70</v>
      </c>
      <c r="H155" t="s">
        <v>71</v>
      </c>
      <c r="I155" t="s">
        <v>42</v>
      </c>
      <c r="J155" t="s">
        <v>87</v>
      </c>
      <c r="K155" t="s">
        <v>71</v>
      </c>
      <c r="L155" s="3">
        <v>1417600</v>
      </c>
      <c r="M155" s="3">
        <v>280700</v>
      </c>
      <c r="N155" t="s">
        <v>39</v>
      </c>
      <c r="O155" t="s">
        <v>40</v>
      </c>
      <c r="P155" t="s">
        <v>31</v>
      </c>
      <c r="Q155" t="s">
        <v>33</v>
      </c>
      <c r="R155" t="s">
        <v>33</v>
      </c>
      <c r="S155" s="3">
        <v>7442000</v>
      </c>
      <c r="T155" t="str">
        <f>TEXT(tblTransactions[[#This Row],[Date]],"mmm")</f>
        <v>Jul</v>
      </c>
      <c r="U155">
        <f>MONTH(tblTransactions[[#This Row],[Date]])</f>
        <v>7</v>
      </c>
      <c r="V155" t="str">
        <f>"Q"&amp;ROUNDUP(MONTH(tblTransactions[[#This Row],[Date]])/3,0)</f>
        <v>Q3</v>
      </c>
    </row>
    <row r="156" spans="1:22" x14ac:dyDescent="0.25">
      <c r="A156" t="s">
        <v>234</v>
      </c>
      <c r="B156" s="2">
        <v>46206</v>
      </c>
      <c r="C156">
        <v>2026</v>
      </c>
      <c r="D156" t="s">
        <v>42</v>
      </c>
      <c r="E156" t="s">
        <v>555</v>
      </c>
      <c r="F156" t="s">
        <v>24</v>
      </c>
      <c r="G156" t="s">
        <v>62</v>
      </c>
      <c r="H156" t="s">
        <v>63</v>
      </c>
      <c r="I156" t="s">
        <v>50</v>
      </c>
      <c r="J156" t="s">
        <v>64</v>
      </c>
      <c r="K156" t="s">
        <v>63</v>
      </c>
      <c r="L156" s="3">
        <v>1164500</v>
      </c>
      <c r="M156" s="3">
        <v>1372800</v>
      </c>
      <c r="N156" t="s">
        <v>58</v>
      </c>
      <c r="O156" t="s">
        <v>72</v>
      </c>
      <c r="P156" t="s">
        <v>31</v>
      </c>
      <c r="Q156" t="s">
        <v>33</v>
      </c>
      <c r="R156" t="s">
        <v>33</v>
      </c>
      <c r="S156" s="3">
        <v>6277500</v>
      </c>
      <c r="T156" t="str">
        <f>TEXT(tblTransactions[[#This Row],[Date]],"mmm")</f>
        <v>Jul</v>
      </c>
      <c r="U156">
        <f>MONTH(tblTransactions[[#This Row],[Date]])</f>
        <v>7</v>
      </c>
      <c r="V156" t="str">
        <f>"Q"&amp;ROUNDUP(MONTH(tblTransactions[[#This Row],[Date]])/3,0)</f>
        <v>Q3</v>
      </c>
    </row>
    <row r="157" spans="1:22" x14ac:dyDescent="0.25">
      <c r="A157" t="s">
        <v>235</v>
      </c>
      <c r="B157" s="2">
        <v>46207</v>
      </c>
      <c r="C157">
        <v>2026</v>
      </c>
      <c r="D157" t="s">
        <v>23</v>
      </c>
      <c r="E157" t="s">
        <v>554</v>
      </c>
      <c r="F157" t="s">
        <v>24</v>
      </c>
      <c r="G157" t="s">
        <v>54</v>
      </c>
      <c r="H157" t="s">
        <v>55</v>
      </c>
      <c r="I157" t="s">
        <v>50</v>
      </c>
      <c r="J157" t="s">
        <v>38</v>
      </c>
      <c r="K157" t="s">
        <v>55</v>
      </c>
      <c r="L157" s="3">
        <v>109900</v>
      </c>
      <c r="M157" s="3">
        <v>1424200</v>
      </c>
      <c r="N157" t="s">
        <v>29</v>
      </c>
      <c r="O157" t="s">
        <v>109</v>
      </c>
      <c r="P157" t="s">
        <v>31</v>
      </c>
      <c r="Q157" t="s">
        <v>32</v>
      </c>
      <c r="R157" t="s">
        <v>33</v>
      </c>
      <c r="S157" s="3">
        <v>6167600</v>
      </c>
      <c r="T157" t="str">
        <f>TEXT(tblTransactions[[#This Row],[Date]],"mmm")</f>
        <v>Jul</v>
      </c>
      <c r="U157">
        <f>MONTH(tblTransactions[[#This Row],[Date]])</f>
        <v>7</v>
      </c>
      <c r="V157" t="str">
        <f>"Q"&amp;ROUNDUP(MONTH(tblTransactions[[#This Row],[Date]])/3,0)</f>
        <v>Q3</v>
      </c>
    </row>
    <row r="158" spans="1:22" x14ac:dyDescent="0.25">
      <c r="A158" t="s">
        <v>236</v>
      </c>
      <c r="B158" s="2">
        <v>46209</v>
      </c>
      <c r="C158">
        <v>2026</v>
      </c>
      <c r="D158" t="s">
        <v>23</v>
      </c>
      <c r="E158" t="s">
        <v>552</v>
      </c>
      <c r="F158" t="s">
        <v>24</v>
      </c>
      <c r="G158" t="s">
        <v>54</v>
      </c>
      <c r="H158" t="s">
        <v>55</v>
      </c>
      <c r="I158" t="s">
        <v>42</v>
      </c>
      <c r="J158" t="s">
        <v>87</v>
      </c>
      <c r="K158" t="s">
        <v>55</v>
      </c>
      <c r="L158" s="3">
        <v>1644100</v>
      </c>
      <c r="M158" s="3">
        <v>424700</v>
      </c>
      <c r="N158" t="s">
        <v>58</v>
      </c>
      <c r="O158" t="s">
        <v>98</v>
      </c>
      <c r="P158" t="s">
        <v>31</v>
      </c>
      <c r="Q158" t="s">
        <v>33</v>
      </c>
      <c r="R158" t="s">
        <v>32</v>
      </c>
      <c r="S158" s="3">
        <v>4523500</v>
      </c>
      <c r="T158" t="str">
        <f>TEXT(tblTransactions[[#This Row],[Date]],"mmm")</f>
        <v>Jul</v>
      </c>
      <c r="U158">
        <f>MONTH(tblTransactions[[#This Row],[Date]])</f>
        <v>7</v>
      </c>
      <c r="V158" t="str">
        <f>"Q"&amp;ROUNDUP(MONTH(tblTransactions[[#This Row],[Date]])/3,0)</f>
        <v>Q3</v>
      </c>
    </row>
    <row r="159" spans="1:22" x14ac:dyDescent="0.25">
      <c r="A159" t="s">
        <v>237</v>
      </c>
      <c r="B159" s="2">
        <v>46210</v>
      </c>
      <c r="C159">
        <v>2026</v>
      </c>
      <c r="D159" t="s">
        <v>68</v>
      </c>
      <c r="E159" t="s">
        <v>555</v>
      </c>
      <c r="F159" t="s">
        <v>24</v>
      </c>
      <c r="G159" t="s">
        <v>43</v>
      </c>
      <c r="H159" t="s">
        <v>44</v>
      </c>
      <c r="I159" t="s">
        <v>37</v>
      </c>
      <c r="J159" t="s">
        <v>78</v>
      </c>
      <c r="K159" t="s">
        <v>44</v>
      </c>
      <c r="L159" s="3">
        <v>577200</v>
      </c>
      <c r="M159" s="3">
        <v>1157400</v>
      </c>
      <c r="N159" t="s">
        <v>29</v>
      </c>
      <c r="O159" t="s">
        <v>40</v>
      </c>
      <c r="P159" t="s">
        <v>31</v>
      </c>
      <c r="Q159" t="s">
        <v>33</v>
      </c>
      <c r="R159" t="s">
        <v>33</v>
      </c>
      <c r="S159" s="3">
        <v>3946300</v>
      </c>
      <c r="T159" t="str">
        <f>TEXT(tblTransactions[[#This Row],[Date]],"mmm")</f>
        <v>Jul</v>
      </c>
      <c r="U159">
        <f>MONTH(tblTransactions[[#This Row],[Date]])</f>
        <v>7</v>
      </c>
      <c r="V159" t="str">
        <f>"Q"&amp;ROUNDUP(MONTH(tblTransactions[[#This Row],[Date]])/3,0)</f>
        <v>Q3</v>
      </c>
    </row>
    <row r="160" spans="1:22" x14ac:dyDescent="0.25">
      <c r="A160" t="s">
        <v>238</v>
      </c>
      <c r="B160" s="2">
        <v>46211</v>
      </c>
      <c r="C160">
        <v>2026</v>
      </c>
      <c r="D160" t="s">
        <v>68</v>
      </c>
      <c r="E160" t="s">
        <v>554</v>
      </c>
      <c r="F160" t="s">
        <v>24</v>
      </c>
      <c r="G160" t="s">
        <v>62</v>
      </c>
      <c r="H160" t="s">
        <v>63</v>
      </c>
      <c r="I160" t="s">
        <v>42</v>
      </c>
      <c r="J160" t="s">
        <v>92</v>
      </c>
      <c r="K160" t="s">
        <v>63</v>
      </c>
      <c r="L160" s="3">
        <v>530000</v>
      </c>
      <c r="M160" s="3">
        <v>1361900</v>
      </c>
      <c r="N160" t="s">
        <v>51</v>
      </c>
      <c r="O160" t="s">
        <v>30</v>
      </c>
      <c r="P160" t="s">
        <v>31</v>
      </c>
      <c r="Q160" t="s">
        <v>32</v>
      </c>
      <c r="R160" t="s">
        <v>33</v>
      </c>
      <c r="S160" s="3">
        <v>3416300</v>
      </c>
      <c r="T160" t="str">
        <f>TEXT(tblTransactions[[#This Row],[Date]],"mmm")</f>
        <v>Jul</v>
      </c>
      <c r="U160">
        <f>MONTH(tblTransactions[[#This Row],[Date]])</f>
        <v>7</v>
      </c>
      <c r="V160" t="str">
        <f>"Q"&amp;ROUNDUP(MONTH(tblTransactions[[#This Row],[Date]])/3,0)</f>
        <v>Q3</v>
      </c>
    </row>
    <row r="161" spans="1:22" x14ac:dyDescent="0.25">
      <c r="A161" t="s">
        <v>239</v>
      </c>
      <c r="B161" s="2">
        <v>46212</v>
      </c>
      <c r="C161">
        <v>2026</v>
      </c>
      <c r="D161" t="s">
        <v>23</v>
      </c>
      <c r="E161" t="s">
        <v>553</v>
      </c>
      <c r="F161" t="s">
        <v>24</v>
      </c>
      <c r="G161" t="s">
        <v>62</v>
      </c>
      <c r="H161" t="s">
        <v>63</v>
      </c>
      <c r="I161" t="s">
        <v>37</v>
      </c>
      <c r="J161" t="s">
        <v>87</v>
      </c>
      <c r="K161" t="s">
        <v>63</v>
      </c>
      <c r="L161" s="3">
        <v>1733400</v>
      </c>
      <c r="M161" s="3">
        <v>475500</v>
      </c>
      <c r="N161" t="s">
        <v>51</v>
      </c>
      <c r="O161" t="s">
        <v>109</v>
      </c>
      <c r="P161" t="s">
        <v>31</v>
      </c>
      <c r="Q161" t="s">
        <v>33</v>
      </c>
      <c r="R161" t="s">
        <v>33</v>
      </c>
      <c r="S161" s="3">
        <v>1682900</v>
      </c>
      <c r="T161" t="str">
        <f>TEXT(tblTransactions[[#This Row],[Date]],"mmm")</f>
        <v>Jul</v>
      </c>
      <c r="U161">
        <f>MONTH(tblTransactions[[#This Row],[Date]])</f>
        <v>7</v>
      </c>
      <c r="V161" t="str">
        <f>"Q"&amp;ROUNDUP(MONTH(tblTransactions[[#This Row],[Date]])/3,0)</f>
        <v>Q3</v>
      </c>
    </row>
    <row r="162" spans="1:22" x14ac:dyDescent="0.25">
      <c r="A162" t="s">
        <v>240</v>
      </c>
      <c r="B162" s="2">
        <v>46213</v>
      </c>
      <c r="C162">
        <v>2026</v>
      </c>
      <c r="D162" t="s">
        <v>42</v>
      </c>
      <c r="E162" t="s">
        <v>553</v>
      </c>
      <c r="F162" t="s">
        <v>24</v>
      </c>
      <c r="G162" t="s">
        <v>54</v>
      </c>
      <c r="H162" t="s">
        <v>55</v>
      </c>
      <c r="I162" t="s">
        <v>56</v>
      </c>
      <c r="J162" t="s">
        <v>57</v>
      </c>
      <c r="K162" t="s">
        <v>55</v>
      </c>
      <c r="L162" s="3">
        <v>65100</v>
      </c>
      <c r="M162" s="3">
        <v>1149300</v>
      </c>
      <c r="N162" t="s">
        <v>39</v>
      </c>
      <c r="O162" t="s">
        <v>47</v>
      </c>
      <c r="P162" t="s">
        <v>31</v>
      </c>
      <c r="Q162" t="s">
        <v>33</v>
      </c>
      <c r="R162" t="s">
        <v>33</v>
      </c>
      <c r="S162" s="3">
        <v>1617800</v>
      </c>
      <c r="T162" t="str">
        <f>TEXT(tblTransactions[[#This Row],[Date]],"mmm")</f>
        <v>Jul</v>
      </c>
      <c r="U162">
        <f>MONTH(tblTransactions[[#This Row],[Date]])</f>
        <v>7</v>
      </c>
      <c r="V162" t="str">
        <f>"Q"&amp;ROUNDUP(MONTH(tblTransactions[[#This Row],[Date]])/3,0)</f>
        <v>Q3</v>
      </c>
    </row>
    <row r="163" spans="1:22" x14ac:dyDescent="0.25">
      <c r="A163" t="s">
        <v>241</v>
      </c>
      <c r="B163" s="2">
        <v>46214</v>
      </c>
      <c r="C163">
        <v>2026</v>
      </c>
      <c r="D163" t="s">
        <v>42</v>
      </c>
      <c r="E163" t="s">
        <v>556</v>
      </c>
      <c r="F163" t="s">
        <v>24</v>
      </c>
      <c r="G163" t="s">
        <v>62</v>
      </c>
      <c r="H163" t="s">
        <v>63</v>
      </c>
      <c r="I163" t="s">
        <v>42</v>
      </c>
      <c r="J163" t="s">
        <v>46</v>
      </c>
      <c r="K163" t="s">
        <v>63</v>
      </c>
      <c r="L163" s="3">
        <v>408900</v>
      </c>
      <c r="M163" s="3">
        <v>1740200</v>
      </c>
      <c r="N163" t="s">
        <v>39</v>
      </c>
      <c r="O163" t="s">
        <v>52</v>
      </c>
      <c r="P163" t="s">
        <v>31</v>
      </c>
      <c r="Q163" t="s">
        <v>33</v>
      </c>
      <c r="R163" t="s">
        <v>33</v>
      </c>
      <c r="S163" s="3">
        <v>1208900</v>
      </c>
      <c r="T163" t="str">
        <f>TEXT(tblTransactions[[#This Row],[Date]],"mmm")</f>
        <v>Jul</v>
      </c>
      <c r="U163">
        <f>MONTH(tblTransactions[[#This Row],[Date]])</f>
        <v>7</v>
      </c>
      <c r="V163" t="str">
        <f>"Q"&amp;ROUNDUP(MONTH(tblTransactions[[#This Row],[Date]])/3,0)</f>
        <v>Q3</v>
      </c>
    </row>
    <row r="164" spans="1:22" x14ac:dyDescent="0.25">
      <c r="A164" t="s">
        <v>242</v>
      </c>
      <c r="B164" s="2">
        <v>46215</v>
      </c>
      <c r="C164">
        <v>2026</v>
      </c>
      <c r="D164" t="s">
        <v>23</v>
      </c>
      <c r="E164" t="s">
        <v>553</v>
      </c>
      <c r="F164" t="s">
        <v>24</v>
      </c>
      <c r="G164" t="s">
        <v>107</v>
      </c>
      <c r="H164" t="s">
        <v>108</v>
      </c>
      <c r="I164" t="s">
        <v>42</v>
      </c>
      <c r="J164" t="s">
        <v>92</v>
      </c>
      <c r="K164" t="s">
        <v>108</v>
      </c>
      <c r="L164" s="3">
        <v>1366300</v>
      </c>
      <c r="M164" s="3">
        <v>1850600</v>
      </c>
      <c r="N164" t="s">
        <v>58</v>
      </c>
      <c r="O164" t="s">
        <v>40</v>
      </c>
      <c r="P164" t="s">
        <v>31</v>
      </c>
      <c r="Q164" t="s">
        <v>33</v>
      </c>
      <c r="R164" t="s">
        <v>33</v>
      </c>
      <c r="S164" s="3">
        <v>-157400</v>
      </c>
      <c r="T164" t="str">
        <f>TEXT(tblTransactions[[#This Row],[Date]],"mmm")</f>
        <v>Jul</v>
      </c>
      <c r="U164">
        <f>MONTH(tblTransactions[[#This Row],[Date]])</f>
        <v>7</v>
      </c>
      <c r="V164" t="str">
        <f>"Q"&amp;ROUNDUP(MONTH(tblTransactions[[#This Row],[Date]])/3,0)</f>
        <v>Q3</v>
      </c>
    </row>
    <row r="165" spans="1:22" x14ac:dyDescent="0.25">
      <c r="A165" t="s">
        <v>243</v>
      </c>
      <c r="B165" s="2">
        <v>46216</v>
      </c>
      <c r="C165">
        <v>2026</v>
      </c>
      <c r="D165" t="s">
        <v>68</v>
      </c>
      <c r="E165" t="s">
        <v>553</v>
      </c>
      <c r="F165" t="s">
        <v>24</v>
      </c>
      <c r="G165" t="s">
        <v>74</v>
      </c>
      <c r="H165" t="s">
        <v>75</v>
      </c>
      <c r="I165" t="s">
        <v>45</v>
      </c>
      <c r="J165" t="s">
        <v>38</v>
      </c>
      <c r="K165" t="s">
        <v>75</v>
      </c>
      <c r="L165" s="3">
        <v>1905400</v>
      </c>
      <c r="M165" s="3">
        <v>1891200</v>
      </c>
      <c r="N165" t="s">
        <v>58</v>
      </c>
      <c r="O165" t="s">
        <v>52</v>
      </c>
      <c r="P165" t="s">
        <v>31</v>
      </c>
      <c r="Q165" t="s">
        <v>32</v>
      </c>
      <c r="R165" t="s">
        <v>33</v>
      </c>
      <c r="S165" s="3">
        <v>-2062800</v>
      </c>
      <c r="T165" t="str">
        <f>TEXT(tblTransactions[[#This Row],[Date]],"mmm")</f>
        <v>Jul</v>
      </c>
      <c r="U165">
        <f>MONTH(tblTransactions[[#This Row],[Date]])</f>
        <v>7</v>
      </c>
      <c r="V165" t="str">
        <f>"Q"&amp;ROUNDUP(MONTH(tblTransactions[[#This Row],[Date]])/3,0)</f>
        <v>Q3</v>
      </c>
    </row>
    <row r="166" spans="1:22" x14ac:dyDescent="0.25">
      <c r="A166" t="s">
        <v>244</v>
      </c>
      <c r="B166" s="2">
        <v>46217</v>
      </c>
      <c r="C166">
        <v>2026</v>
      </c>
      <c r="D166" t="s">
        <v>23</v>
      </c>
      <c r="E166" t="s">
        <v>553</v>
      </c>
      <c r="F166" t="s">
        <v>24</v>
      </c>
      <c r="G166" t="s">
        <v>107</v>
      </c>
      <c r="H166" t="s">
        <v>108</v>
      </c>
      <c r="I166" t="s">
        <v>50</v>
      </c>
      <c r="J166" t="s">
        <v>57</v>
      </c>
      <c r="K166" t="s">
        <v>108</v>
      </c>
      <c r="L166" s="3">
        <v>1206600</v>
      </c>
      <c r="M166" s="3">
        <v>1058500</v>
      </c>
      <c r="N166" t="s">
        <v>58</v>
      </c>
      <c r="O166" t="s">
        <v>72</v>
      </c>
      <c r="P166" t="s">
        <v>31</v>
      </c>
      <c r="Q166" t="s">
        <v>33</v>
      </c>
      <c r="R166" t="s">
        <v>33</v>
      </c>
      <c r="S166" s="3">
        <v>-3269400</v>
      </c>
      <c r="T166" t="str">
        <f>TEXT(tblTransactions[[#This Row],[Date]],"mmm")</f>
        <v>Jul</v>
      </c>
      <c r="U166">
        <f>MONTH(tblTransactions[[#This Row],[Date]])</f>
        <v>7</v>
      </c>
      <c r="V166" t="str">
        <f>"Q"&amp;ROUNDUP(MONTH(tblTransactions[[#This Row],[Date]])/3,0)</f>
        <v>Q3</v>
      </c>
    </row>
    <row r="167" spans="1:22" x14ac:dyDescent="0.25">
      <c r="A167" t="s">
        <v>245</v>
      </c>
      <c r="B167" s="2">
        <v>46218</v>
      </c>
      <c r="C167">
        <v>2026</v>
      </c>
      <c r="D167" t="s">
        <v>23</v>
      </c>
      <c r="E167" t="s">
        <v>555</v>
      </c>
      <c r="F167" t="s">
        <v>24</v>
      </c>
      <c r="G167" t="s">
        <v>62</v>
      </c>
      <c r="H167" t="s">
        <v>63</v>
      </c>
      <c r="I167" t="s">
        <v>56</v>
      </c>
      <c r="J167" t="s">
        <v>46</v>
      </c>
      <c r="K167" t="s">
        <v>63</v>
      </c>
      <c r="L167" s="3">
        <v>1694000</v>
      </c>
      <c r="M167" s="3">
        <v>1875300</v>
      </c>
      <c r="N167" t="s">
        <v>51</v>
      </c>
      <c r="O167" t="s">
        <v>30</v>
      </c>
      <c r="P167" t="s">
        <v>31</v>
      </c>
      <c r="Q167" t="s">
        <v>33</v>
      </c>
      <c r="R167" t="s">
        <v>32</v>
      </c>
      <c r="S167" s="3">
        <v>-4963400</v>
      </c>
      <c r="T167" t="str">
        <f>TEXT(tblTransactions[[#This Row],[Date]],"mmm")</f>
        <v>Jul</v>
      </c>
      <c r="U167">
        <f>MONTH(tblTransactions[[#This Row],[Date]])</f>
        <v>7</v>
      </c>
      <c r="V167" t="str">
        <f>"Q"&amp;ROUNDUP(MONTH(tblTransactions[[#This Row],[Date]])/3,0)</f>
        <v>Q3</v>
      </c>
    </row>
    <row r="168" spans="1:22" x14ac:dyDescent="0.25">
      <c r="A168" t="s">
        <v>246</v>
      </c>
      <c r="B168" s="2">
        <v>46220</v>
      </c>
      <c r="C168">
        <v>2026</v>
      </c>
      <c r="D168" t="s">
        <v>23</v>
      </c>
      <c r="E168" t="s">
        <v>553</v>
      </c>
      <c r="F168" t="s">
        <v>24</v>
      </c>
      <c r="G168" t="s">
        <v>107</v>
      </c>
      <c r="H168" t="s">
        <v>108</v>
      </c>
      <c r="I168" t="s">
        <v>42</v>
      </c>
      <c r="J168" t="s">
        <v>28</v>
      </c>
      <c r="K168" t="s">
        <v>108</v>
      </c>
      <c r="L168" s="3">
        <v>297700</v>
      </c>
      <c r="M168" s="3">
        <v>856600</v>
      </c>
      <c r="N168" t="s">
        <v>58</v>
      </c>
      <c r="O168" t="s">
        <v>30</v>
      </c>
      <c r="P168" t="s">
        <v>31</v>
      </c>
      <c r="Q168" t="s">
        <v>33</v>
      </c>
      <c r="R168" t="s">
        <v>33</v>
      </c>
      <c r="S168" s="3">
        <v>-5261100</v>
      </c>
      <c r="T168" t="str">
        <f>TEXT(tblTransactions[[#This Row],[Date]],"mmm")</f>
        <v>Jul</v>
      </c>
      <c r="U168">
        <f>MONTH(tblTransactions[[#This Row],[Date]])</f>
        <v>7</v>
      </c>
      <c r="V168" t="str">
        <f>"Q"&amp;ROUNDUP(MONTH(tblTransactions[[#This Row],[Date]])/3,0)</f>
        <v>Q3</v>
      </c>
    </row>
    <row r="169" spans="1:22" x14ac:dyDescent="0.25">
      <c r="A169" t="s">
        <v>247</v>
      </c>
      <c r="B169" s="2">
        <v>46221</v>
      </c>
      <c r="C169">
        <v>2026</v>
      </c>
      <c r="D169" t="s">
        <v>23</v>
      </c>
      <c r="E169" t="s">
        <v>556</v>
      </c>
      <c r="F169" t="s">
        <v>24</v>
      </c>
      <c r="G169" t="s">
        <v>43</v>
      </c>
      <c r="H169" t="s">
        <v>44</v>
      </c>
      <c r="I169" t="s">
        <v>56</v>
      </c>
      <c r="J169" t="s">
        <v>46</v>
      </c>
      <c r="K169" t="s">
        <v>44</v>
      </c>
      <c r="L169" s="3">
        <v>657600</v>
      </c>
      <c r="M169" s="3">
        <v>1844400</v>
      </c>
      <c r="N169" t="s">
        <v>58</v>
      </c>
      <c r="O169" t="s">
        <v>98</v>
      </c>
      <c r="P169" t="s">
        <v>31</v>
      </c>
      <c r="Q169" t="s">
        <v>33</v>
      </c>
      <c r="R169" t="s">
        <v>32</v>
      </c>
      <c r="S169" s="3">
        <v>-5918700</v>
      </c>
      <c r="T169" t="str">
        <f>TEXT(tblTransactions[[#This Row],[Date]],"mmm")</f>
        <v>Jul</v>
      </c>
      <c r="U169">
        <f>MONTH(tblTransactions[[#This Row],[Date]])</f>
        <v>7</v>
      </c>
      <c r="V169" t="str">
        <f>"Q"&amp;ROUNDUP(MONTH(tblTransactions[[#This Row],[Date]])/3,0)</f>
        <v>Q3</v>
      </c>
    </row>
    <row r="170" spans="1:22" x14ac:dyDescent="0.25">
      <c r="A170" t="s">
        <v>248</v>
      </c>
      <c r="B170" s="2">
        <v>46222</v>
      </c>
      <c r="C170">
        <v>2026</v>
      </c>
      <c r="D170" t="s">
        <v>42</v>
      </c>
      <c r="E170" t="s">
        <v>554</v>
      </c>
      <c r="F170" t="s">
        <v>24</v>
      </c>
      <c r="G170" t="s">
        <v>62</v>
      </c>
      <c r="H170" t="s">
        <v>63</v>
      </c>
      <c r="I170" t="s">
        <v>37</v>
      </c>
      <c r="J170" t="s">
        <v>38</v>
      </c>
      <c r="K170" t="s">
        <v>63</v>
      </c>
      <c r="L170" s="3">
        <v>1742700</v>
      </c>
      <c r="M170" s="3">
        <v>1031000</v>
      </c>
      <c r="N170" t="s">
        <v>51</v>
      </c>
      <c r="O170" t="s">
        <v>30</v>
      </c>
      <c r="P170" t="s">
        <v>31</v>
      </c>
      <c r="Q170" t="s">
        <v>33</v>
      </c>
      <c r="R170" t="s">
        <v>33</v>
      </c>
      <c r="S170" s="3">
        <v>-7661400</v>
      </c>
      <c r="T170" t="str">
        <f>TEXT(tblTransactions[[#This Row],[Date]],"mmm")</f>
        <v>Jul</v>
      </c>
      <c r="U170">
        <f>MONTH(tblTransactions[[#This Row],[Date]])</f>
        <v>7</v>
      </c>
      <c r="V170" t="str">
        <f>"Q"&amp;ROUNDUP(MONTH(tblTransactions[[#This Row],[Date]])/3,0)</f>
        <v>Q3</v>
      </c>
    </row>
    <row r="171" spans="1:22" x14ac:dyDescent="0.25">
      <c r="A171" t="s">
        <v>249</v>
      </c>
      <c r="B171" s="2">
        <v>46224</v>
      </c>
      <c r="C171">
        <v>2026</v>
      </c>
      <c r="D171" t="s">
        <v>23</v>
      </c>
      <c r="E171" t="s">
        <v>557</v>
      </c>
      <c r="F171" t="s">
        <v>35</v>
      </c>
      <c r="G171" t="s">
        <v>36</v>
      </c>
      <c r="H171" t="s">
        <v>36</v>
      </c>
      <c r="I171" t="s">
        <v>27</v>
      </c>
      <c r="J171" t="s">
        <v>38</v>
      </c>
      <c r="K171" t="s">
        <v>36</v>
      </c>
      <c r="L171" s="3">
        <v>852100</v>
      </c>
      <c r="M171" s="3">
        <v>0</v>
      </c>
      <c r="N171" t="s">
        <v>58</v>
      </c>
      <c r="O171" t="s">
        <v>66</v>
      </c>
      <c r="P171" t="s">
        <v>31</v>
      </c>
      <c r="Q171" t="s">
        <v>33</v>
      </c>
      <c r="R171" t="s">
        <v>33</v>
      </c>
      <c r="S171" s="3">
        <v>-6809300</v>
      </c>
      <c r="T171" t="str">
        <f>TEXT(tblTransactions[[#This Row],[Date]],"mmm")</f>
        <v>Jul</v>
      </c>
      <c r="U171">
        <f>MONTH(tblTransactions[[#This Row],[Date]])</f>
        <v>7</v>
      </c>
      <c r="V171" t="str">
        <f>"Q"&amp;ROUNDUP(MONTH(tblTransactions[[#This Row],[Date]])/3,0)</f>
        <v>Q3</v>
      </c>
    </row>
    <row r="172" spans="1:22" x14ac:dyDescent="0.25">
      <c r="A172" t="s">
        <v>250</v>
      </c>
      <c r="B172" s="2">
        <v>46225</v>
      </c>
      <c r="C172">
        <v>2026</v>
      </c>
      <c r="D172" t="s">
        <v>42</v>
      </c>
      <c r="E172" t="s">
        <v>553</v>
      </c>
      <c r="F172" t="s">
        <v>24</v>
      </c>
      <c r="G172" t="s">
        <v>54</v>
      </c>
      <c r="H172" t="s">
        <v>55</v>
      </c>
      <c r="I172" t="s">
        <v>42</v>
      </c>
      <c r="J172" t="s">
        <v>28</v>
      </c>
      <c r="K172" t="s">
        <v>55</v>
      </c>
      <c r="L172" s="3">
        <v>1334100</v>
      </c>
      <c r="M172" s="3">
        <v>356900</v>
      </c>
      <c r="N172" t="s">
        <v>29</v>
      </c>
      <c r="O172" t="s">
        <v>60</v>
      </c>
      <c r="P172" t="s">
        <v>31</v>
      </c>
      <c r="Q172" t="s">
        <v>32</v>
      </c>
      <c r="R172" t="s">
        <v>32</v>
      </c>
      <c r="S172" s="3">
        <v>-8143400</v>
      </c>
      <c r="T172" t="str">
        <f>TEXT(tblTransactions[[#This Row],[Date]],"mmm")</f>
        <v>Jul</v>
      </c>
      <c r="U172">
        <f>MONTH(tblTransactions[[#This Row],[Date]])</f>
        <v>7</v>
      </c>
      <c r="V172" t="str">
        <f>"Q"&amp;ROUNDUP(MONTH(tblTransactions[[#This Row],[Date]])/3,0)</f>
        <v>Q3</v>
      </c>
    </row>
    <row r="173" spans="1:22" x14ac:dyDescent="0.25">
      <c r="A173" t="s">
        <v>251</v>
      </c>
      <c r="B173" s="2">
        <v>46226</v>
      </c>
      <c r="C173">
        <v>2026</v>
      </c>
      <c r="D173" t="s">
        <v>68</v>
      </c>
      <c r="E173" t="s">
        <v>552</v>
      </c>
      <c r="F173" t="s">
        <v>24</v>
      </c>
      <c r="G173" t="s">
        <v>70</v>
      </c>
      <c r="H173" t="s">
        <v>71</v>
      </c>
      <c r="I173" t="s">
        <v>50</v>
      </c>
      <c r="J173" t="s">
        <v>92</v>
      </c>
      <c r="K173" t="s">
        <v>71</v>
      </c>
      <c r="L173" s="3">
        <v>1509800</v>
      </c>
      <c r="M173" s="3">
        <v>1546200</v>
      </c>
      <c r="N173" t="s">
        <v>39</v>
      </c>
      <c r="O173" t="s">
        <v>60</v>
      </c>
      <c r="P173" t="s">
        <v>31</v>
      </c>
      <c r="Q173" t="s">
        <v>32</v>
      </c>
      <c r="R173" t="s">
        <v>32</v>
      </c>
      <c r="S173" s="3">
        <v>-9653200</v>
      </c>
      <c r="T173" t="str">
        <f>TEXT(tblTransactions[[#This Row],[Date]],"mmm")</f>
        <v>Jul</v>
      </c>
      <c r="U173">
        <f>MONTH(tblTransactions[[#This Row],[Date]])</f>
        <v>7</v>
      </c>
      <c r="V173" t="str">
        <f>"Q"&amp;ROUNDUP(MONTH(tblTransactions[[#This Row],[Date]])/3,0)</f>
        <v>Q3</v>
      </c>
    </row>
    <row r="174" spans="1:22" x14ac:dyDescent="0.25">
      <c r="A174" t="s">
        <v>252</v>
      </c>
      <c r="B174" s="2">
        <v>46227</v>
      </c>
      <c r="C174">
        <v>2026</v>
      </c>
      <c r="D174" t="s">
        <v>23</v>
      </c>
      <c r="E174" t="s">
        <v>552</v>
      </c>
      <c r="F174" t="s">
        <v>35</v>
      </c>
      <c r="G174" t="s">
        <v>95</v>
      </c>
      <c r="H174" t="s">
        <v>96</v>
      </c>
      <c r="I174" t="s">
        <v>45</v>
      </c>
      <c r="J174" t="s">
        <v>115</v>
      </c>
      <c r="K174" t="s">
        <v>96</v>
      </c>
      <c r="L174" s="3">
        <v>1110100</v>
      </c>
      <c r="M174" s="3">
        <v>0</v>
      </c>
      <c r="N174" t="s">
        <v>58</v>
      </c>
      <c r="O174" t="s">
        <v>98</v>
      </c>
      <c r="P174" t="s">
        <v>31</v>
      </c>
      <c r="Q174" t="s">
        <v>33</v>
      </c>
      <c r="R174" t="s">
        <v>33</v>
      </c>
      <c r="S174" s="3">
        <v>-8543100</v>
      </c>
      <c r="T174" t="str">
        <f>TEXT(tblTransactions[[#This Row],[Date]],"mmm")</f>
        <v>Jul</v>
      </c>
      <c r="U174">
        <f>MONTH(tblTransactions[[#This Row],[Date]])</f>
        <v>7</v>
      </c>
      <c r="V174" t="str">
        <f>"Q"&amp;ROUNDUP(MONTH(tblTransactions[[#This Row],[Date]])/3,0)</f>
        <v>Q3</v>
      </c>
    </row>
    <row r="175" spans="1:22" x14ac:dyDescent="0.25">
      <c r="A175" t="s">
        <v>253</v>
      </c>
      <c r="B175" s="2">
        <v>46228</v>
      </c>
      <c r="C175">
        <v>2026</v>
      </c>
      <c r="D175" t="s">
        <v>42</v>
      </c>
      <c r="E175" t="s">
        <v>556</v>
      </c>
      <c r="F175" t="s">
        <v>24</v>
      </c>
      <c r="G175" t="s">
        <v>101</v>
      </c>
      <c r="H175" t="s">
        <v>102</v>
      </c>
      <c r="I175" t="s">
        <v>42</v>
      </c>
      <c r="J175" t="s">
        <v>87</v>
      </c>
      <c r="K175" t="s">
        <v>102</v>
      </c>
      <c r="L175" s="3">
        <v>658400</v>
      </c>
      <c r="M175" s="3">
        <v>422300</v>
      </c>
      <c r="N175" t="s">
        <v>39</v>
      </c>
      <c r="O175" t="s">
        <v>66</v>
      </c>
      <c r="P175" t="s">
        <v>31</v>
      </c>
      <c r="Q175" t="s">
        <v>32</v>
      </c>
      <c r="R175" t="s">
        <v>33</v>
      </c>
      <c r="S175" s="3">
        <v>-9201500</v>
      </c>
      <c r="T175" t="str">
        <f>TEXT(tblTransactions[[#This Row],[Date]],"mmm")</f>
        <v>Jul</v>
      </c>
      <c r="U175">
        <f>MONTH(tblTransactions[[#This Row],[Date]])</f>
        <v>7</v>
      </c>
      <c r="V175" t="str">
        <f>"Q"&amp;ROUNDUP(MONTH(tblTransactions[[#This Row],[Date]])/3,0)</f>
        <v>Q3</v>
      </c>
    </row>
    <row r="176" spans="1:22" x14ac:dyDescent="0.25">
      <c r="A176" t="s">
        <v>254</v>
      </c>
      <c r="B176" s="2">
        <v>46229</v>
      </c>
      <c r="C176">
        <v>2026</v>
      </c>
      <c r="D176" t="s">
        <v>68</v>
      </c>
      <c r="E176" t="s">
        <v>553</v>
      </c>
      <c r="F176" t="s">
        <v>24</v>
      </c>
      <c r="G176" t="s">
        <v>62</v>
      </c>
      <c r="H176" t="s">
        <v>63</v>
      </c>
      <c r="I176" t="s">
        <v>45</v>
      </c>
      <c r="J176" t="s">
        <v>115</v>
      </c>
      <c r="K176" t="s">
        <v>63</v>
      </c>
      <c r="L176" s="3">
        <v>185500</v>
      </c>
      <c r="M176" s="3">
        <v>1926600</v>
      </c>
      <c r="N176" t="s">
        <v>51</v>
      </c>
      <c r="O176" t="s">
        <v>60</v>
      </c>
      <c r="P176" t="s">
        <v>31</v>
      </c>
      <c r="Q176" t="s">
        <v>33</v>
      </c>
      <c r="R176" t="s">
        <v>32</v>
      </c>
      <c r="S176" s="3">
        <v>-9387000</v>
      </c>
      <c r="T176" t="str">
        <f>TEXT(tblTransactions[[#This Row],[Date]],"mmm")</f>
        <v>Jul</v>
      </c>
      <c r="U176">
        <f>MONTH(tblTransactions[[#This Row],[Date]])</f>
        <v>7</v>
      </c>
      <c r="V176" t="str">
        <f>"Q"&amp;ROUNDUP(MONTH(tblTransactions[[#This Row],[Date]])/3,0)</f>
        <v>Q3</v>
      </c>
    </row>
    <row r="177" spans="1:22" x14ac:dyDescent="0.25">
      <c r="A177" t="s">
        <v>255</v>
      </c>
      <c r="B177" s="2">
        <v>46230</v>
      </c>
      <c r="C177">
        <v>2026</v>
      </c>
      <c r="D177" t="s">
        <v>23</v>
      </c>
      <c r="E177" t="s">
        <v>554</v>
      </c>
      <c r="F177" t="s">
        <v>24</v>
      </c>
      <c r="G177" t="s">
        <v>101</v>
      </c>
      <c r="H177" t="s">
        <v>102</v>
      </c>
      <c r="I177" t="s">
        <v>56</v>
      </c>
      <c r="J177" t="s">
        <v>115</v>
      </c>
      <c r="K177" t="s">
        <v>102</v>
      </c>
      <c r="L177" s="3">
        <v>1973100</v>
      </c>
      <c r="M177" s="3">
        <v>1491000</v>
      </c>
      <c r="N177" t="s">
        <v>58</v>
      </c>
      <c r="O177" t="s">
        <v>47</v>
      </c>
      <c r="P177" t="s">
        <v>31</v>
      </c>
      <c r="Q177" t="s">
        <v>33</v>
      </c>
      <c r="R177" t="s">
        <v>33</v>
      </c>
      <c r="S177" s="3">
        <v>-11360100</v>
      </c>
      <c r="T177" t="str">
        <f>TEXT(tblTransactions[[#This Row],[Date]],"mmm")</f>
        <v>Jul</v>
      </c>
      <c r="U177">
        <f>MONTH(tblTransactions[[#This Row],[Date]])</f>
        <v>7</v>
      </c>
      <c r="V177" t="str">
        <f>"Q"&amp;ROUNDUP(MONTH(tblTransactions[[#This Row],[Date]])/3,0)</f>
        <v>Q3</v>
      </c>
    </row>
    <row r="178" spans="1:22" x14ac:dyDescent="0.25">
      <c r="A178" t="s">
        <v>256</v>
      </c>
      <c r="B178" s="2">
        <v>46231</v>
      </c>
      <c r="C178">
        <v>2026</v>
      </c>
      <c r="D178" t="s">
        <v>23</v>
      </c>
      <c r="E178" t="s">
        <v>557</v>
      </c>
      <c r="F178" t="s">
        <v>24</v>
      </c>
      <c r="G178" t="s">
        <v>70</v>
      </c>
      <c r="H178" t="s">
        <v>71</v>
      </c>
      <c r="I178" t="s">
        <v>56</v>
      </c>
      <c r="J178" t="s">
        <v>92</v>
      </c>
      <c r="K178" t="s">
        <v>71</v>
      </c>
      <c r="L178" s="3">
        <v>1690800</v>
      </c>
      <c r="M178" s="3">
        <v>859200</v>
      </c>
      <c r="N178" t="s">
        <v>51</v>
      </c>
      <c r="O178" t="s">
        <v>66</v>
      </c>
      <c r="P178" t="s">
        <v>31</v>
      </c>
      <c r="Q178" t="s">
        <v>33</v>
      </c>
      <c r="R178" t="s">
        <v>33</v>
      </c>
      <c r="S178" s="3">
        <v>-13050900</v>
      </c>
      <c r="T178" t="str">
        <f>TEXT(tblTransactions[[#This Row],[Date]],"mmm")</f>
        <v>Jul</v>
      </c>
      <c r="U178">
        <f>MONTH(tblTransactions[[#This Row],[Date]])</f>
        <v>7</v>
      </c>
      <c r="V178" t="str">
        <f>"Q"&amp;ROUNDUP(MONTH(tblTransactions[[#This Row],[Date]])/3,0)</f>
        <v>Q3</v>
      </c>
    </row>
    <row r="179" spans="1:22" x14ac:dyDescent="0.25">
      <c r="A179" t="s">
        <v>257</v>
      </c>
      <c r="B179" s="2">
        <v>46232</v>
      </c>
      <c r="C179">
        <v>2026</v>
      </c>
      <c r="D179" t="s">
        <v>42</v>
      </c>
      <c r="E179" t="s">
        <v>552</v>
      </c>
      <c r="F179" t="s">
        <v>24</v>
      </c>
      <c r="G179" t="s">
        <v>107</v>
      </c>
      <c r="H179" t="s">
        <v>108</v>
      </c>
      <c r="I179" t="s">
        <v>56</v>
      </c>
      <c r="J179" t="s">
        <v>57</v>
      </c>
      <c r="K179" t="s">
        <v>108</v>
      </c>
      <c r="L179" s="3">
        <v>1125000</v>
      </c>
      <c r="M179" s="3">
        <v>1552800</v>
      </c>
      <c r="N179" t="s">
        <v>51</v>
      </c>
      <c r="O179" t="s">
        <v>72</v>
      </c>
      <c r="P179" t="s">
        <v>31</v>
      </c>
      <c r="Q179" t="s">
        <v>33</v>
      </c>
      <c r="R179" t="s">
        <v>33</v>
      </c>
      <c r="S179" s="3">
        <v>-14175900</v>
      </c>
      <c r="T179" t="str">
        <f>TEXT(tblTransactions[[#This Row],[Date]],"mmm")</f>
        <v>Jul</v>
      </c>
      <c r="U179">
        <f>MONTH(tblTransactions[[#This Row],[Date]])</f>
        <v>7</v>
      </c>
      <c r="V179" t="str">
        <f>"Q"&amp;ROUNDUP(MONTH(tblTransactions[[#This Row],[Date]])/3,0)</f>
        <v>Q3</v>
      </c>
    </row>
    <row r="180" spans="1:22" x14ac:dyDescent="0.25">
      <c r="A180" t="s">
        <v>258</v>
      </c>
      <c r="B180" s="2">
        <v>46233</v>
      </c>
      <c r="C180">
        <v>2026</v>
      </c>
      <c r="D180" t="s">
        <v>23</v>
      </c>
      <c r="E180" t="s">
        <v>557</v>
      </c>
      <c r="F180" t="s">
        <v>24</v>
      </c>
      <c r="G180" t="s">
        <v>54</v>
      </c>
      <c r="H180" t="s">
        <v>55</v>
      </c>
      <c r="I180" t="s">
        <v>50</v>
      </c>
      <c r="J180" t="s">
        <v>115</v>
      </c>
      <c r="K180" t="s">
        <v>55</v>
      </c>
      <c r="L180" s="3">
        <v>1145400</v>
      </c>
      <c r="M180" s="3">
        <v>1776600</v>
      </c>
      <c r="N180" t="s">
        <v>51</v>
      </c>
      <c r="O180" t="s">
        <v>76</v>
      </c>
      <c r="P180" t="s">
        <v>31</v>
      </c>
      <c r="Q180" t="s">
        <v>33</v>
      </c>
      <c r="R180" t="s">
        <v>33</v>
      </c>
      <c r="S180" s="3">
        <v>-15321300</v>
      </c>
      <c r="T180" t="str">
        <f>TEXT(tblTransactions[[#This Row],[Date]],"mmm")</f>
        <v>Jul</v>
      </c>
      <c r="U180">
        <f>MONTH(tblTransactions[[#This Row],[Date]])</f>
        <v>7</v>
      </c>
      <c r="V180" t="str">
        <f>"Q"&amp;ROUNDUP(MONTH(tblTransactions[[#This Row],[Date]])/3,0)</f>
        <v>Q3</v>
      </c>
    </row>
    <row r="181" spans="1:22" x14ac:dyDescent="0.25">
      <c r="A181" t="s">
        <v>259</v>
      </c>
      <c r="B181" s="2">
        <v>46234</v>
      </c>
      <c r="C181">
        <v>2026</v>
      </c>
      <c r="D181" t="s">
        <v>42</v>
      </c>
      <c r="E181" t="s">
        <v>557</v>
      </c>
      <c r="F181" t="s">
        <v>35</v>
      </c>
      <c r="G181" t="s">
        <v>95</v>
      </c>
      <c r="H181" t="s">
        <v>96</v>
      </c>
      <c r="I181" t="s">
        <v>42</v>
      </c>
      <c r="J181" t="s">
        <v>92</v>
      </c>
      <c r="K181" t="s">
        <v>96</v>
      </c>
      <c r="L181" s="3">
        <v>7781000</v>
      </c>
      <c r="M181" s="3">
        <v>0</v>
      </c>
      <c r="N181" t="s">
        <v>39</v>
      </c>
      <c r="O181" t="s">
        <v>52</v>
      </c>
      <c r="P181" t="s">
        <v>31</v>
      </c>
      <c r="Q181" t="s">
        <v>33</v>
      </c>
      <c r="R181" t="s">
        <v>33</v>
      </c>
      <c r="S181" s="3">
        <v>-7540300</v>
      </c>
      <c r="T181" t="str">
        <f>TEXT(tblTransactions[[#This Row],[Date]],"mmm")</f>
        <v>Jul</v>
      </c>
      <c r="U181">
        <f>MONTH(tblTransactions[[#This Row],[Date]])</f>
        <v>7</v>
      </c>
      <c r="V181" t="str">
        <f>"Q"&amp;ROUNDUP(MONTH(tblTransactions[[#This Row],[Date]])/3,0)</f>
        <v>Q3</v>
      </c>
    </row>
    <row r="182" spans="1:22" x14ac:dyDescent="0.25">
      <c r="A182" t="s">
        <v>260</v>
      </c>
      <c r="B182" s="2">
        <v>46235</v>
      </c>
      <c r="C182">
        <v>2026</v>
      </c>
      <c r="D182" t="s">
        <v>23</v>
      </c>
      <c r="E182" t="s">
        <v>552</v>
      </c>
      <c r="F182" t="s">
        <v>24</v>
      </c>
      <c r="G182" t="s">
        <v>101</v>
      </c>
      <c r="H182" t="s">
        <v>102</v>
      </c>
      <c r="I182" t="s">
        <v>56</v>
      </c>
      <c r="J182" t="s">
        <v>46</v>
      </c>
      <c r="K182" t="s">
        <v>102</v>
      </c>
      <c r="L182" s="3">
        <v>71600</v>
      </c>
      <c r="M182" s="3">
        <v>440000</v>
      </c>
      <c r="N182" t="s">
        <v>51</v>
      </c>
      <c r="O182" t="s">
        <v>66</v>
      </c>
      <c r="P182" t="s">
        <v>31</v>
      </c>
      <c r="Q182" t="s">
        <v>33</v>
      </c>
      <c r="R182" t="s">
        <v>32</v>
      </c>
      <c r="S182" s="3">
        <v>-7611900</v>
      </c>
      <c r="T182" t="str">
        <f>TEXT(tblTransactions[[#This Row],[Date]],"mmm")</f>
        <v>Aug</v>
      </c>
      <c r="U182">
        <f>MONTH(tblTransactions[[#This Row],[Date]])</f>
        <v>8</v>
      </c>
      <c r="V182" t="str">
        <f>"Q"&amp;ROUNDUP(MONTH(tblTransactions[[#This Row],[Date]])/3,0)</f>
        <v>Q3</v>
      </c>
    </row>
    <row r="183" spans="1:22" x14ac:dyDescent="0.25">
      <c r="A183" t="s">
        <v>261</v>
      </c>
      <c r="B183" s="2">
        <v>46236</v>
      </c>
      <c r="C183">
        <v>2026</v>
      </c>
      <c r="D183" t="s">
        <v>23</v>
      </c>
      <c r="E183" t="s">
        <v>553</v>
      </c>
      <c r="F183" t="s">
        <v>35</v>
      </c>
      <c r="G183" t="s">
        <v>36</v>
      </c>
      <c r="H183" t="s">
        <v>36</v>
      </c>
      <c r="I183" t="s">
        <v>42</v>
      </c>
      <c r="J183" t="s">
        <v>38</v>
      </c>
      <c r="K183" t="s">
        <v>36</v>
      </c>
      <c r="L183" s="3">
        <v>841000</v>
      </c>
      <c r="M183" s="3">
        <v>0</v>
      </c>
      <c r="N183" t="s">
        <v>39</v>
      </c>
      <c r="O183" t="s">
        <v>52</v>
      </c>
      <c r="P183" t="s">
        <v>31</v>
      </c>
      <c r="Q183" t="s">
        <v>33</v>
      </c>
      <c r="R183" t="s">
        <v>33</v>
      </c>
      <c r="S183" s="3">
        <v>-6770900</v>
      </c>
      <c r="T183" t="str">
        <f>TEXT(tblTransactions[[#This Row],[Date]],"mmm")</f>
        <v>Aug</v>
      </c>
      <c r="U183">
        <f>MONTH(tblTransactions[[#This Row],[Date]])</f>
        <v>8</v>
      </c>
      <c r="V183" t="str">
        <f>"Q"&amp;ROUNDUP(MONTH(tblTransactions[[#This Row],[Date]])/3,0)</f>
        <v>Q3</v>
      </c>
    </row>
    <row r="184" spans="1:22" x14ac:dyDescent="0.25">
      <c r="A184" t="s">
        <v>262</v>
      </c>
      <c r="B184" s="2">
        <v>46237</v>
      </c>
      <c r="C184">
        <v>2026</v>
      </c>
      <c r="D184" t="s">
        <v>68</v>
      </c>
      <c r="E184" t="s">
        <v>555</v>
      </c>
      <c r="F184" t="s">
        <v>24</v>
      </c>
      <c r="G184" t="s">
        <v>54</v>
      </c>
      <c r="H184" t="s">
        <v>55</v>
      </c>
      <c r="I184" t="s">
        <v>37</v>
      </c>
      <c r="J184" t="s">
        <v>64</v>
      </c>
      <c r="K184" t="s">
        <v>55</v>
      </c>
      <c r="L184" s="3">
        <v>1027700</v>
      </c>
      <c r="M184" s="3">
        <v>662700</v>
      </c>
      <c r="N184" t="s">
        <v>51</v>
      </c>
      <c r="O184" t="s">
        <v>47</v>
      </c>
      <c r="P184" t="s">
        <v>31</v>
      </c>
      <c r="Q184" t="s">
        <v>33</v>
      </c>
      <c r="R184" t="s">
        <v>33</v>
      </c>
      <c r="S184" s="3">
        <v>-7798600</v>
      </c>
      <c r="T184" t="str">
        <f>TEXT(tblTransactions[[#This Row],[Date]],"mmm")</f>
        <v>Aug</v>
      </c>
      <c r="U184">
        <f>MONTH(tblTransactions[[#This Row],[Date]])</f>
        <v>8</v>
      </c>
      <c r="V184" t="str">
        <f>"Q"&amp;ROUNDUP(MONTH(tblTransactions[[#This Row],[Date]])/3,0)</f>
        <v>Q3</v>
      </c>
    </row>
    <row r="185" spans="1:22" x14ac:dyDescent="0.25">
      <c r="A185" t="s">
        <v>263</v>
      </c>
      <c r="B185" s="2">
        <v>46238</v>
      </c>
      <c r="C185">
        <v>2026</v>
      </c>
      <c r="D185" t="s">
        <v>42</v>
      </c>
      <c r="E185" t="s">
        <v>557</v>
      </c>
      <c r="F185" t="s">
        <v>35</v>
      </c>
      <c r="G185" t="s">
        <v>80</v>
      </c>
      <c r="H185" t="s">
        <v>81</v>
      </c>
      <c r="I185" t="s">
        <v>50</v>
      </c>
      <c r="J185" t="s">
        <v>57</v>
      </c>
      <c r="K185" t="s">
        <v>81</v>
      </c>
      <c r="L185" s="3">
        <v>2389300</v>
      </c>
      <c r="M185" s="3">
        <v>0</v>
      </c>
      <c r="N185" t="s">
        <v>29</v>
      </c>
      <c r="O185" t="s">
        <v>76</v>
      </c>
      <c r="P185" t="s">
        <v>31</v>
      </c>
      <c r="Q185" t="s">
        <v>33</v>
      </c>
      <c r="R185" t="s">
        <v>32</v>
      </c>
      <c r="S185" s="3">
        <v>-5409300</v>
      </c>
      <c r="T185" t="str">
        <f>TEXT(tblTransactions[[#This Row],[Date]],"mmm")</f>
        <v>Aug</v>
      </c>
      <c r="U185">
        <f>MONTH(tblTransactions[[#This Row],[Date]])</f>
        <v>8</v>
      </c>
      <c r="V185" t="str">
        <f>"Q"&amp;ROUNDUP(MONTH(tblTransactions[[#This Row],[Date]])/3,0)</f>
        <v>Q3</v>
      </c>
    </row>
    <row r="186" spans="1:22" x14ac:dyDescent="0.25">
      <c r="A186" t="s">
        <v>264</v>
      </c>
      <c r="B186" s="2">
        <v>46239</v>
      </c>
      <c r="C186">
        <v>2026</v>
      </c>
      <c r="D186" t="s">
        <v>68</v>
      </c>
      <c r="E186" t="s">
        <v>557</v>
      </c>
      <c r="F186" t="s">
        <v>24</v>
      </c>
      <c r="G186" t="s">
        <v>70</v>
      </c>
      <c r="H186" t="s">
        <v>71</v>
      </c>
      <c r="I186" t="s">
        <v>50</v>
      </c>
      <c r="J186" t="s">
        <v>57</v>
      </c>
      <c r="K186" t="s">
        <v>71</v>
      </c>
      <c r="L186" s="3">
        <v>58500</v>
      </c>
      <c r="M186" s="3">
        <v>1228600</v>
      </c>
      <c r="N186" t="s">
        <v>51</v>
      </c>
      <c r="O186" t="s">
        <v>109</v>
      </c>
      <c r="P186" t="s">
        <v>31</v>
      </c>
      <c r="Q186" t="s">
        <v>33</v>
      </c>
      <c r="R186" t="s">
        <v>33</v>
      </c>
      <c r="S186" s="3">
        <v>-5467800</v>
      </c>
      <c r="T186" t="str">
        <f>TEXT(tblTransactions[[#This Row],[Date]],"mmm")</f>
        <v>Aug</v>
      </c>
      <c r="U186">
        <f>MONTH(tblTransactions[[#This Row],[Date]])</f>
        <v>8</v>
      </c>
      <c r="V186" t="str">
        <f>"Q"&amp;ROUNDUP(MONTH(tblTransactions[[#This Row],[Date]])/3,0)</f>
        <v>Q3</v>
      </c>
    </row>
    <row r="187" spans="1:22" x14ac:dyDescent="0.25">
      <c r="A187" t="s">
        <v>265</v>
      </c>
      <c r="B187" s="2">
        <v>46240</v>
      </c>
      <c r="C187">
        <v>2026</v>
      </c>
      <c r="D187" t="s">
        <v>23</v>
      </c>
      <c r="E187" t="s">
        <v>555</v>
      </c>
      <c r="F187" t="s">
        <v>24</v>
      </c>
      <c r="G187" t="s">
        <v>74</v>
      </c>
      <c r="H187" t="s">
        <v>75</v>
      </c>
      <c r="I187" t="s">
        <v>42</v>
      </c>
      <c r="J187" t="s">
        <v>78</v>
      </c>
      <c r="K187" t="s">
        <v>75</v>
      </c>
      <c r="L187" s="3">
        <v>1250500</v>
      </c>
      <c r="M187" s="3">
        <v>1304400</v>
      </c>
      <c r="N187" t="s">
        <v>39</v>
      </c>
      <c r="O187" t="s">
        <v>98</v>
      </c>
      <c r="P187" t="s">
        <v>31</v>
      </c>
      <c r="Q187" t="s">
        <v>32</v>
      </c>
      <c r="R187" t="s">
        <v>33</v>
      </c>
      <c r="S187" s="3">
        <v>-6718300</v>
      </c>
      <c r="T187" t="str">
        <f>TEXT(tblTransactions[[#This Row],[Date]],"mmm")</f>
        <v>Aug</v>
      </c>
      <c r="U187">
        <f>MONTH(tblTransactions[[#This Row],[Date]])</f>
        <v>8</v>
      </c>
      <c r="V187" t="str">
        <f>"Q"&amp;ROUNDUP(MONTH(tblTransactions[[#This Row],[Date]])/3,0)</f>
        <v>Q3</v>
      </c>
    </row>
    <row r="188" spans="1:22" x14ac:dyDescent="0.25">
      <c r="A188" t="s">
        <v>266</v>
      </c>
      <c r="B188" s="2">
        <v>46241</v>
      </c>
      <c r="C188">
        <v>2026</v>
      </c>
      <c r="D188" t="s">
        <v>68</v>
      </c>
      <c r="E188" t="s">
        <v>555</v>
      </c>
      <c r="F188" t="s">
        <v>24</v>
      </c>
      <c r="G188" t="s">
        <v>43</v>
      </c>
      <c r="H188" t="s">
        <v>44</v>
      </c>
      <c r="I188" t="s">
        <v>37</v>
      </c>
      <c r="J188" t="s">
        <v>64</v>
      </c>
      <c r="K188" t="s">
        <v>44</v>
      </c>
      <c r="L188" s="3">
        <v>18100</v>
      </c>
      <c r="M188" s="3">
        <v>207000</v>
      </c>
      <c r="N188" t="s">
        <v>29</v>
      </c>
      <c r="O188" t="s">
        <v>66</v>
      </c>
      <c r="P188" t="s">
        <v>31</v>
      </c>
      <c r="Q188" t="s">
        <v>33</v>
      </c>
      <c r="R188" t="s">
        <v>33</v>
      </c>
      <c r="S188" s="3">
        <v>-6736400</v>
      </c>
      <c r="T188" t="str">
        <f>TEXT(tblTransactions[[#This Row],[Date]],"mmm")</f>
        <v>Aug</v>
      </c>
      <c r="U188">
        <f>MONTH(tblTransactions[[#This Row],[Date]])</f>
        <v>8</v>
      </c>
      <c r="V188" t="str">
        <f>"Q"&amp;ROUNDUP(MONTH(tblTransactions[[#This Row],[Date]])/3,0)</f>
        <v>Q3</v>
      </c>
    </row>
    <row r="189" spans="1:22" x14ac:dyDescent="0.25">
      <c r="A189" t="s">
        <v>267</v>
      </c>
      <c r="B189" s="2">
        <v>46242</v>
      </c>
      <c r="C189">
        <v>2026</v>
      </c>
      <c r="D189" t="s">
        <v>68</v>
      </c>
      <c r="E189" t="s">
        <v>555</v>
      </c>
      <c r="F189" t="s">
        <v>24</v>
      </c>
      <c r="G189" t="s">
        <v>74</v>
      </c>
      <c r="H189" t="s">
        <v>75</v>
      </c>
      <c r="I189" t="s">
        <v>27</v>
      </c>
      <c r="J189" t="s">
        <v>38</v>
      </c>
      <c r="K189" t="s">
        <v>75</v>
      </c>
      <c r="L189" s="3">
        <v>1425600</v>
      </c>
      <c r="M189" s="3">
        <v>1000500</v>
      </c>
      <c r="N189" t="s">
        <v>29</v>
      </c>
      <c r="O189" t="s">
        <v>98</v>
      </c>
      <c r="P189" t="s">
        <v>31</v>
      </c>
      <c r="Q189" t="s">
        <v>32</v>
      </c>
      <c r="R189" t="s">
        <v>33</v>
      </c>
      <c r="S189" s="3">
        <v>-8162000</v>
      </c>
      <c r="T189" t="str">
        <f>TEXT(tblTransactions[[#This Row],[Date]],"mmm")</f>
        <v>Aug</v>
      </c>
      <c r="U189">
        <f>MONTH(tblTransactions[[#This Row],[Date]])</f>
        <v>8</v>
      </c>
      <c r="V189" t="str">
        <f>"Q"&amp;ROUNDUP(MONTH(tblTransactions[[#This Row],[Date]])/3,0)</f>
        <v>Q3</v>
      </c>
    </row>
    <row r="190" spans="1:22" x14ac:dyDescent="0.25">
      <c r="A190" t="s">
        <v>268</v>
      </c>
      <c r="B190" s="2">
        <v>46243</v>
      </c>
      <c r="C190">
        <v>2026</v>
      </c>
      <c r="D190" t="s">
        <v>23</v>
      </c>
      <c r="E190" t="s">
        <v>556</v>
      </c>
      <c r="F190" t="s">
        <v>24</v>
      </c>
      <c r="G190" t="s">
        <v>43</v>
      </c>
      <c r="H190" t="s">
        <v>44</v>
      </c>
      <c r="I190" t="s">
        <v>27</v>
      </c>
      <c r="J190" t="s">
        <v>78</v>
      </c>
      <c r="K190" t="s">
        <v>44</v>
      </c>
      <c r="L190" s="3">
        <v>1945200</v>
      </c>
      <c r="M190" s="3">
        <v>989100</v>
      </c>
      <c r="N190" t="s">
        <v>58</v>
      </c>
      <c r="O190" t="s">
        <v>30</v>
      </c>
      <c r="P190" t="s">
        <v>31</v>
      </c>
      <c r="Q190" t="s">
        <v>32</v>
      </c>
      <c r="R190" t="s">
        <v>33</v>
      </c>
      <c r="S190" s="3">
        <v>-10107200</v>
      </c>
      <c r="T190" t="str">
        <f>TEXT(tblTransactions[[#This Row],[Date]],"mmm")</f>
        <v>Aug</v>
      </c>
      <c r="U190">
        <f>MONTH(tblTransactions[[#This Row],[Date]])</f>
        <v>8</v>
      </c>
      <c r="V190" t="str">
        <f>"Q"&amp;ROUNDUP(MONTH(tblTransactions[[#This Row],[Date]])/3,0)</f>
        <v>Q3</v>
      </c>
    </row>
    <row r="191" spans="1:22" x14ac:dyDescent="0.25">
      <c r="A191" t="s">
        <v>269</v>
      </c>
      <c r="B191" s="2">
        <v>46244</v>
      </c>
      <c r="C191">
        <v>2026</v>
      </c>
      <c r="D191" t="s">
        <v>68</v>
      </c>
      <c r="E191" t="s">
        <v>554</v>
      </c>
      <c r="F191" t="s">
        <v>24</v>
      </c>
      <c r="G191" t="s">
        <v>74</v>
      </c>
      <c r="H191" t="s">
        <v>75</v>
      </c>
      <c r="I191" t="s">
        <v>45</v>
      </c>
      <c r="J191" t="s">
        <v>92</v>
      </c>
      <c r="K191" t="s">
        <v>75</v>
      </c>
      <c r="L191" s="3">
        <v>1567800</v>
      </c>
      <c r="M191" s="3">
        <v>715300</v>
      </c>
      <c r="N191" t="s">
        <v>51</v>
      </c>
      <c r="O191" t="s">
        <v>52</v>
      </c>
      <c r="P191" t="s">
        <v>31</v>
      </c>
      <c r="Q191" t="s">
        <v>33</v>
      </c>
      <c r="R191" t="s">
        <v>33</v>
      </c>
      <c r="S191" s="3">
        <v>-11675000</v>
      </c>
      <c r="T191" t="str">
        <f>TEXT(tblTransactions[[#This Row],[Date]],"mmm")</f>
        <v>Aug</v>
      </c>
      <c r="U191">
        <f>MONTH(tblTransactions[[#This Row],[Date]])</f>
        <v>8</v>
      </c>
      <c r="V191" t="str">
        <f>"Q"&amp;ROUNDUP(MONTH(tblTransactions[[#This Row],[Date]])/3,0)</f>
        <v>Q3</v>
      </c>
    </row>
    <row r="192" spans="1:22" x14ac:dyDescent="0.25">
      <c r="A192" t="s">
        <v>270</v>
      </c>
      <c r="B192" s="2">
        <v>46245</v>
      </c>
      <c r="C192">
        <v>2026</v>
      </c>
      <c r="D192" t="s">
        <v>23</v>
      </c>
      <c r="E192" t="s">
        <v>555</v>
      </c>
      <c r="F192" t="s">
        <v>24</v>
      </c>
      <c r="G192" t="s">
        <v>70</v>
      </c>
      <c r="H192" t="s">
        <v>71</v>
      </c>
      <c r="I192" t="s">
        <v>42</v>
      </c>
      <c r="J192" t="s">
        <v>87</v>
      </c>
      <c r="K192" t="s">
        <v>71</v>
      </c>
      <c r="L192" s="3">
        <v>306500</v>
      </c>
      <c r="M192" s="3">
        <v>1988000</v>
      </c>
      <c r="N192" t="s">
        <v>58</v>
      </c>
      <c r="O192" t="s">
        <v>52</v>
      </c>
      <c r="P192" t="s">
        <v>31</v>
      </c>
      <c r="Q192" t="s">
        <v>33</v>
      </c>
      <c r="R192" t="s">
        <v>33</v>
      </c>
      <c r="S192" s="3">
        <v>-11981500</v>
      </c>
      <c r="T192" t="str">
        <f>TEXT(tblTransactions[[#This Row],[Date]],"mmm")</f>
        <v>Aug</v>
      </c>
      <c r="U192">
        <f>MONTH(tblTransactions[[#This Row],[Date]])</f>
        <v>8</v>
      </c>
      <c r="V192" t="str">
        <f>"Q"&amp;ROUNDUP(MONTH(tblTransactions[[#This Row],[Date]])/3,0)</f>
        <v>Q3</v>
      </c>
    </row>
    <row r="193" spans="1:22" x14ac:dyDescent="0.25">
      <c r="A193" t="s">
        <v>271</v>
      </c>
      <c r="B193" s="2">
        <v>46246</v>
      </c>
      <c r="C193">
        <v>2026</v>
      </c>
      <c r="D193" t="s">
        <v>23</v>
      </c>
      <c r="E193" t="s">
        <v>557</v>
      </c>
      <c r="F193" t="s">
        <v>24</v>
      </c>
      <c r="G193" t="s">
        <v>101</v>
      </c>
      <c r="H193" t="s">
        <v>102</v>
      </c>
      <c r="I193" t="s">
        <v>37</v>
      </c>
      <c r="J193" t="s">
        <v>57</v>
      </c>
      <c r="K193" t="s">
        <v>102</v>
      </c>
      <c r="L193" s="3">
        <v>1800200</v>
      </c>
      <c r="M193" s="3">
        <v>629300</v>
      </c>
      <c r="N193" t="s">
        <v>29</v>
      </c>
      <c r="O193" t="s">
        <v>30</v>
      </c>
      <c r="P193" t="s">
        <v>31</v>
      </c>
      <c r="Q193" t="s">
        <v>33</v>
      </c>
      <c r="R193" t="s">
        <v>33</v>
      </c>
      <c r="S193" s="3">
        <v>-13781700</v>
      </c>
      <c r="T193" t="str">
        <f>TEXT(tblTransactions[[#This Row],[Date]],"mmm")</f>
        <v>Aug</v>
      </c>
      <c r="U193">
        <f>MONTH(tblTransactions[[#This Row],[Date]])</f>
        <v>8</v>
      </c>
      <c r="V193" t="str">
        <f>"Q"&amp;ROUNDUP(MONTH(tblTransactions[[#This Row],[Date]])/3,0)</f>
        <v>Q3</v>
      </c>
    </row>
    <row r="194" spans="1:22" x14ac:dyDescent="0.25">
      <c r="A194" t="s">
        <v>272</v>
      </c>
      <c r="B194" s="2">
        <v>46247</v>
      </c>
      <c r="C194">
        <v>2026</v>
      </c>
      <c r="D194" t="s">
        <v>42</v>
      </c>
      <c r="E194" t="s">
        <v>554</v>
      </c>
      <c r="F194" t="s">
        <v>24</v>
      </c>
      <c r="G194" t="s">
        <v>62</v>
      </c>
      <c r="H194" t="s">
        <v>63</v>
      </c>
      <c r="I194" t="s">
        <v>37</v>
      </c>
      <c r="J194" t="s">
        <v>115</v>
      </c>
      <c r="K194" t="s">
        <v>63</v>
      </c>
      <c r="L194" s="3">
        <v>1402000</v>
      </c>
      <c r="M194" s="3">
        <v>1688700</v>
      </c>
      <c r="N194" t="s">
        <v>58</v>
      </c>
      <c r="O194" t="s">
        <v>109</v>
      </c>
      <c r="P194" t="s">
        <v>31</v>
      </c>
      <c r="Q194" t="s">
        <v>32</v>
      </c>
      <c r="R194" t="s">
        <v>33</v>
      </c>
      <c r="S194" s="3">
        <v>-15183700</v>
      </c>
      <c r="T194" t="str">
        <f>TEXT(tblTransactions[[#This Row],[Date]],"mmm")</f>
        <v>Aug</v>
      </c>
      <c r="U194">
        <f>MONTH(tblTransactions[[#This Row],[Date]])</f>
        <v>8</v>
      </c>
      <c r="V194" t="str">
        <f>"Q"&amp;ROUNDUP(MONTH(tblTransactions[[#This Row],[Date]])/3,0)</f>
        <v>Q3</v>
      </c>
    </row>
    <row r="195" spans="1:22" x14ac:dyDescent="0.25">
      <c r="A195" t="s">
        <v>273</v>
      </c>
      <c r="B195" s="2">
        <v>46248</v>
      </c>
      <c r="C195">
        <v>2026</v>
      </c>
      <c r="D195" t="s">
        <v>42</v>
      </c>
      <c r="E195" t="s">
        <v>554</v>
      </c>
      <c r="F195" t="s">
        <v>24</v>
      </c>
      <c r="G195" t="s">
        <v>54</v>
      </c>
      <c r="H195" t="s">
        <v>55</v>
      </c>
      <c r="I195" t="s">
        <v>27</v>
      </c>
      <c r="J195" t="s">
        <v>78</v>
      </c>
      <c r="K195" t="s">
        <v>55</v>
      </c>
      <c r="L195" s="3">
        <v>1965000</v>
      </c>
      <c r="M195" s="3">
        <v>1720600</v>
      </c>
      <c r="N195" t="s">
        <v>51</v>
      </c>
      <c r="O195" t="s">
        <v>40</v>
      </c>
      <c r="P195" t="s">
        <v>31</v>
      </c>
      <c r="Q195" t="s">
        <v>32</v>
      </c>
      <c r="R195" t="s">
        <v>33</v>
      </c>
      <c r="S195" s="3">
        <v>-17148700</v>
      </c>
      <c r="T195" t="str">
        <f>TEXT(tblTransactions[[#This Row],[Date]],"mmm")</f>
        <v>Aug</v>
      </c>
      <c r="U195">
        <f>MONTH(tblTransactions[[#This Row],[Date]])</f>
        <v>8</v>
      </c>
      <c r="V195" t="str">
        <f>"Q"&amp;ROUNDUP(MONTH(tblTransactions[[#This Row],[Date]])/3,0)</f>
        <v>Q3</v>
      </c>
    </row>
    <row r="196" spans="1:22" x14ac:dyDescent="0.25">
      <c r="A196" t="s">
        <v>274</v>
      </c>
      <c r="B196" s="2">
        <v>46249</v>
      </c>
      <c r="C196">
        <v>2026</v>
      </c>
      <c r="D196" t="s">
        <v>42</v>
      </c>
      <c r="E196" t="s">
        <v>554</v>
      </c>
      <c r="F196" t="s">
        <v>24</v>
      </c>
      <c r="G196" t="s">
        <v>54</v>
      </c>
      <c r="H196" t="s">
        <v>55</v>
      </c>
      <c r="I196" t="s">
        <v>45</v>
      </c>
      <c r="J196" t="s">
        <v>38</v>
      </c>
      <c r="K196" t="s">
        <v>55</v>
      </c>
      <c r="L196" s="3">
        <v>312800</v>
      </c>
      <c r="M196" s="3">
        <v>402200</v>
      </c>
      <c r="N196" t="s">
        <v>39</v>
      </c>
      <c r="O196" t="s">
        <v>72</v>
      </c>
      <c r="P196" t="s">
        <v>31</v>
      </c>
      <c r="Q196" t="s">
        <v>33</v>
      </c>
      <c r="R196" t="s">
        <v>33</v>
      </c>
      <c r="S196" s="3">
        <v>-17461500</v>
      </c>
      <c r="T196" t="str">
        <f>TEXT(tblTransactions[[#This Row],[Date]],"mmm")</f>
        <v>Aug</v>
      </c>
      <c r="U196">
        <f>MONTH(tblTransactions[[#This Row],[Date]])</f>
        <v>8</v>
      </c>
      <c r="V196" t="str">
        <f>"Q"&amp;ROUNDUP(MONTH(tblTransactions[[#This Row],[Date]])/3,0)</f>
        <v>Q3</v>
      </c>
    </row>
    <row r="197" spans="1:22" x14ac:dyDescent="0.25">
      <c r="A197" t="s">
        <v>275</v>
      </c>
      <c r="B197" s="2">
        <v>46250</v>
      </c>
      <c r="C197">
        <v>2026</v>
      </c>
      <c r="D197" t="s">
        <v>68</v>
      </c>
      <c r="E197" t="s">
        <v>554</v>
      </c>
      <c r="F197" t="s">
        <v>24</v>
      </c>
      <c r="G197" t="s">
        <v>43</v>
      </c>
      <c r="H197" t="s">
        <v>44</v>
      </c>
      <c r="I197" t="s">
        <v>42</v>
      </c>
      <c r="J197" t="s">
        <v>64</v>
      </c>
      <c r="K197" t="s">
        <v>44</v>
      </c>
      <c r="L197" s="3">
        <v>1254800</v>
      </c>
      <c r="M197" s="3">
        <v>1838100</v>
      </c>
      <c r="N197" t="s">
        <v>58</v>
      </c>
      <c r="O197" t="s">
        <v>66</v>
      </c>
      <c r="P197" t="s">
        <v>31</v>
      </c>
      <c r="Q197" t="s">
        <v>33</v>
      </c>
      <c r="R197" t="s">
        <v>33</v>
      </c>
      <c r="S197" s="3">
        <v>-18716300</v>
      </c>
      <c r="T197" t="str">
        <f>TEXT(tblTransactions[[#This Row],[Date]],"mmm")</f>
        <v>Aug</v>
      </c>
      <c r="U197">
        <f>MONTH(tblTransactions[[#This Row],[Date]])</f>
        <v>8</v>
      </c>
      <c r="V197" t="str">
        <f>"Q"&amp;ROUNDUP(MONTH(tblTransactions[[#This Row],[Date]])/3,0)</f>
        <v>Q3</v>
      </c>
    </row>
    <row r="198" spans="1:22" x14ac:dyDescent="0.25">
      <c r="A198" t="s">
        <v>276</v>
      </c>
      <c r="B198" s="2">
        <v>46251</v>
      </c>
      <c r="C198">
        <v>2026</v>
      </c>
      <c r="D198" t="s">
        <v>42</v>
      </c>
      <c r="E198" t="s">
        <v>556</v>
      </c>
      <c r="F198" t="s">
        <v>35</v>
      </c>
      <c r="G198" t="s">
        <v>36</v>
      </c>
      <c r="H198" t="s">
        <v>36</v>
      </c>
      <c r="I198" t="s">
        <v>50</v>
      </c>
      <c r="J198" t="s">
        <v>64</v>
      </c>
      <c r="K198" t="s">
        <v>36</v>
      </c>
      <c r="L198" s="3">
        <v>1578400</v>
      </c>
      <c r="M198" s="3">
        <v>0</v>
      </c>
      <c r="N198" t="s">
        <v>58</v>
      </c>
      <c r="O198" t="s">
        <v>52</v>
      </c>
      <c r="P198" t="s">
        <v>31</v>
      </c>
      <c r="Q198" t="s">
        <v>32</v>
      </c>
      <c r="R198" t="s">
        <v>33</v>
      </c>
      <c r="S198" s="3">
        <v>-17137900</v>
      </c>
      <c r="T198" t="str">
        <f>TEXT(tblTransactions[[#This Row],[Date]],"mmm")</f>
        <v>Aug</v>
      </c>
      <c r="U198">
        <f>MONTH(tblTransactions[[#This Row],[Date]])</f>
        <v>8</v>
      </c>
      <c r="V198" t="str">
        <f>"Q"&amp;ROUNDUP(MONTH(tblTransactions[[#This Row],[Date]])/3,0)</f>
        <v>Q3</v>
      </c>
    </row>
    <row r="199" spans="1:22" x14ac:dyDescent="0.25">
      <c r="A199" t="s">
        <v>277</v>
      </c>
      <c r="B199" s="2">
        <v>46252</v>
      </c>
      <c r="C199">
        <v>2026</v>
      </c>
      <c r="D199" t="s">
        <v>68</v>
      </c>
      <c r="E199" t="s">
        <v>554</v>
      </c>
      <c r="F199" t="s">
        <v>24</v>
      </c>
      <c r="G199" t="s">
        <v>54</v>
      </c>
      <c r="H199" t="s">
        <v>55</v>
      </c>
      <c r="I199" t="s">
        <v>45</v>
      </c>
      <c r="J199" t="s">
        <v>64</v>
      </c>
      <c r="K199" t="s">
        <v>55</v>
      </c>
      <c r="L199" s="3">
        <v>979800</v>
      </c>
      <c r="M199" s="3">
        <v>1040300</v>
      </c>
      <c r="N199" t="s">
        <v>51</v>
      </c>
      <c r="O199" t="s">
        <v>72</v>
      </c>
      <c r="P199" t="s">
        <v>31</v>
      </c>
      <c r="Q199" t="s">
        <v>33</v>
      </c>
      <c r="R199" t="s">
        <v>33</v>
      </c>
      <c r="S199" s="3">
        <v>-18117700</v>
      </c>
      <c r="T199" t="str">
        <f>TEXT(tblTransactions[[#This Row],[Date]],"mmm")</f>
        <v>Aug</v>
      </c>
      <c r="U199">
        <f>MONTH(tblTransactions[[#This Row],[Date]])</f>
        <v>8</v>
      </c>
      <c r="V199" t="str">
        <f>"Q"&amp;ROUNDUP(MONTH(tblTransactions[[#This Row],[Date]])/3,0)</f>
        <v>Q3</v>
      </c>
    </row>
    <row r="200" spans="1:22" x14ac:dyDescent="0.25">
      <c r="A200" t="s">
        <v>278</v>
      </c>
      <c r="B200" s="2">
        <v>46253</v>
      </c>
      <c r="C200">
        <v>2026</v>
      </c>
      <c r="D200" t="s">
        <v>23</v>
      </c>
      <c r="E200" t="s">
        <v>555</v>
      </c>
      <c r="F200" t="s">
        <v>24</v>
      </c>
      <c r="G200" t="s">
        <v>70</v>
      </c>
      <c r="H200" t="s">
        <v>71</v>
      </c>
      <c r="I200" t="s">
        <v>56</v>
      </c>
      <c r="J200" t="s">
        <v>115</v>
      </c>
      <c r="K200" t="s">
        <v>71</v>
      </c>
      <c r="L200" s="3">
        <v>1280500</v>
      </c>
      <c r="M200" s="3">
        <v>273100</v>
      </c>
      <c r="N200" t="s">
        <v>39</v>
      </c>
      <c r="O200" t="s">
        <v>52</v>
      </c>
      <c r="P200" t="s">
        <v>31</v>
      </c>
      <c r="Q200" t="s">
        <v>32</v>
      </c>
      <c r="R200" t="s">
        <v>33</v>
      </c>
      <c r="S200" s="3">
        <v>-19398200</v>
      </c>
      <c r="T200" t="str">
        <f>TEXT(tblTransactions[[#This Row],[Date]],"mmm")</f>
        <v>Aug</v>
      </c>
      <c r="U200">
        <f>MONTH(tblTransactions[[#This Row],[Date]])</f>
        <v>8</v>
      </c>
      <c r="V200" t="str">
        <f>"Q"&amp;ROUNDUP(MONTH(tblTransactions[[#This Row],[Date]])/3,0)</f>
        <v>Q3</v>
      </c>
    </row>
    <row r="201" spans="1:22" x14ac:dyDescent="0.25">
      <c r="A201" t="s">
        <v>279</v>
      </c>
      <c r="B201" s="2">
        <v>46254</v>
      </c>
      <c r="C201">
        <v>2026</v>
      </c>
      <c r="D201" t="s">
        <v>42</v>
      </c>
      <c r="E201" t="s">
        <v>554</v>
      </c>
      <c r="F201" t="s">
        <v>24</v>
      </c>
      <c r="G201" t="s">
        <v>62</v>
      </c>
      <c r="H201" t="s">
        <v>63</v>
      </c>
      <c r="I201" t="s">
        <v>27</v>
      </c>
      <c r="J201" t="s">
        <v>64</v>
      </c>
      <c r="K201" t="s">
        <v>63</v>
      </c>
      <c r="L201" s="3">
        <v>86800</v>
      </c>
      <c r="M201" s="3">
        <v>1759000</v>
      </c>
      <c r="N201" t="s">
        <v>58</v>
      </c>
      <c r="O201" t="s">
        <v>40</v>
      </c>
      <c r="P201" t="s">
        <v>31</v>
      </c>
      <c r="Q201" t="s">
        <v>33</v>
      </c>
      <c r="R201" t="s">
        <v>33</v>
      </c>
      <c r="S201" s="3">
        <v>-19485000</v>
      </c>
      <c r="T201" t="str">
        <f>TEXT(tblTransactions[[#This Row],[Date]],"mmm")</f>
        <v>Aug</v>
      </c>
      <c r="U201">
        <f>MONTH(tblTransactions[[#This Row],[Date]])</f>
        <v>8</v>
      </c>
      <c r="V201" t="str">
        <f>"Q"&amp;ROUNDUP(MONTH(tblTransactions[[#This Row],[Date]])/3,0)</f>
        <v>Q3</v>
      </c>
    </row>
    <row r="202" spans="1:22" x14ac:dyDescent="0.25">
      <c r="A202" t="s">
        <v>280</v>
      </c>
      <c r="B202" s="2">
        <v>46255</v>
      </c>
      <c r="C202">
        <v>2026</v>
      </c>
      <c r="D202" t="s">
        <v>23</v>
      </c>
      <c r="E202" t="s">
        <v>556</v>
      </c>
      <c r="F202" t="s">
        <v>24</v>
      </c>
      <c r="G202" t="s">
        <v>70</v>
      </c>
      <c r="H202" t="s">
        <v>71</v>
      </c>
      <c r="I202" t="s">
        <v>42</v>
      </c>
      <c r="J202" t="s">
        <v>57</v>
      </c>
      <c r="K202" t="s">
        <v>71</v>
      </c>
      <c r="L202" s="3">
        <v>107100</v>
      </c>
      <c r="M202" s="3">
        <v>1642600</v>
      </c>
      <c r="N202" t="s">
        <v>29</v>
      </c>
      <c r="O202" t="s">
        <v>30</v>
      </c>
      <c r="P202" t="s">
        <v>31</v>
      </c>
      <c r="Q202" t="s">
        <v>32</v>
      </c>
      <c r="R202" t="s">
        <v>33</v>
      </c>
      <c r="S202" s="3">
        <v>-19592100</v>
      </c>
      <c r="T202" t="str">
        <f>TEXT(tblTransactions[[#This Row],[Date]],"mmm")</f>
        <v>Aug</v>
      </c>
      <c r="U202">
        <f>MONTH(tblTransactions[[#This Row],[Date]])</f>
        <v>8</v>
      </c>
      <c r="V202" t="str">
        <f>"Q"&amp;ROUNDUP(MONTH(tblTransactions[[#This Row],[Date]])/3,0)</f>
        <v>Q3</v>
      </c>
    </row>
    <row r="203" spans="1:22" x14ac:dyDescent="0.25">
      <c r="A203" t="s">
        <v>281</v>
      </c>
      <c r="B203" s="2">
        <v>46256</v>
      </c>
      <c r="C203">
        <v>2026</v>
      </c>
      <c r="D203" t="s">
        <v>68</v>
      </c>
      <c r="E203" t="s">
        <v>553</v>
      </c>
      <c r="F203" t="s">
        <v>24</v>
      </c>
      <c r="G203" t="s">
        <v>70</v>
      </c>
      <c r="H203" t="s">
        <v>71</v>
      </c>
      <c r="I203" t="s">
        <v>42</v>
      </c>
      <c r="J203" t="s">
        <v>92</v>
      </c>
      <c r="K203" t="s">
        <v>71</v>
      </c>
      <c r="L203" s="3">
        <v>119900</v>
      </c>
      <c r="M203" s="3">
        <v>652900</v>
      </c>
      <c r="N203" t="s">
        <v>58</v>
      </c>
      <c r="O203" t="s">
        <v>40</v>
      </c>
      <c r="P203" t="s">
        <v>31</v>
      </c>
      <c r="Q203" t="s">
        <v>33</v>
      </c>
      <c r="R203" t="s">
        <v>33</v>
      </c>
      <c r="S203" s="3">
        <v>-19712000</v>
      </c>
      <c r="T203" t="str">
        <f>TEXT(tblTransactions[[#This Row],[Date]],"mmm")</f>
        <v>Aug</v>
      </c>
      <c r="U203">
        <f>MONTH(tblTransactions[[#This Row],[Date]])</f>
        <v>8</v>
      </c>
      <c r="V203" t="str">
        <f>"Q"&amp;ROUNDUP(MONTH(tblTransactions[[#This Row],[Date]])/3,0)</f>
        <v>Q3</v>
      </c>
    </row>
    <row r="204" spans="1:22" x14ac:dyDescent="0.25">
      <c r="A204" t="s">
        <v>282</v>
      </c>
      <c r="B204" s="2">
        <v>46257</v>
      </c>
      <c r="C204">
        <v>2026</v>
      </c>
      <c r="D204" t="s">
        <v>23</v>
      </c>
      <c r="E204" t="s">
        <v>556</v>
      </c>
      <c r="F204" t="s">
        <v>24</v>
      </c>
      <c r="G204" t="s">
        <v>107</v>
      </c>
      <c r="H204" t="s">
        <v>108</v>
      </c>
      <c r="I204" t="s">
        <v>56</v>
      </c>
      <c r="J204" t="s">
        <v>115</v>
      </c>
      <c r="K204" t="s">
        <v>108</v>
      </c>
      <c r="L204" s="3">
        <v>1321200</v>
      </c>
      <c r="M204" s="3">
        <v>1373000</v>
      </c>
      <c r="N204" t="s">
        <v>58</v>
      </c>
      <c r="O204" t="s">
        <v>52</v>
      </c>
      <c r="P204" t="s">
        <v>31</v>
      </c>
      <c r="Q204" t="s">
        <v>33</v>
      </c>
      <c r="R204" t="s">
        <v>33</v>
      </c>
      <c r="S204" s="3">
        <v>-21033200</v>
      </c>
      <c r="T204" t="str">
        <f>TEXT(tblTransactions[[#This Row],[Date]],"mmm")</f>
        <v>Aug</v>
      </c>
      <c r="U204">
        <f>MONTH(tblTransactions[[#This Row],[Date]])</f>
        <v>8</v>
      </c>
      <c r="V204" t="str">
        <f>"Q"&amp;ROUNDUP(MONTH(tblTransactions[[#This Row],[Date]])/3,0)</f>
        <v>Q3</v>
      </c>
    </row>
    <row r="205" spans="1:22" x14ac:dyDescent="0.25">
      <c r="A205" t="s">
        <v>283</v>
      </c>
      <c r="B205" s="2">
        <v>46258</v>
      </c>
      <c r="C205">
        <v>2026</v>
      </c>
      <c r="D205" t="s">
        <v>23</v>
      </c>
      <c r="E205" t="s">
        <v>553</v>
      </c>
      <c r="F205" t="s">
        <v>24</v>
      </c>
      <c r="G205" t="s">
        <v>74</v>
      </c>
      <c r="H205" t="s">
        <v>75</v>
      </c>
      <c r="I205" t="s">
        <v>56</v>
      </c>
      <c r="J205" t="s">
        <v>92</v>
      </c>
      <c r="K205" t="s">
        <v>75</v>
      </c>
      <c r="L205" s="3">
        <v>447500</v>
      </c>
      <c r="M205" s="3">
        <v>1170600</v>
      </c>
      <c r="N205" t="s">
        <v>39</v>
      </c>
      <c r="O205" t="s">
        <v>30</v>
      </c>
      <c r="P205" t="s">
        <v>31</v>
      </c>
      <c r="Q205" t="s">
        <v>33</v>
      </c>
      <c r="R205" t="s">
        <v>33</v>
      </c>
      <c r="S205" s="3">
        <v>-21480700</v>
      </c>
      <c r="T205" t="str">
        <f>TEXT(tblTransactions[[#This Row],[Date]],"mmm")</f>
        <v>Aug</v>
      </c>
      <c r="U205">
        <f>MONTH(tblTransactions[[#This Row],[Date]])</f>
        <v>8</v>
      </c>
      <c r="V205" t="str">
        <f>"Q"&amp;ROUNDUP(MONTH(tblTransactions[[#This Row],[Date]])/3,0)</f>
        <v>Q3</v>
      </c>
    </row>
    <row r="206" spans="1:22" x14ac:dyDescent="0.25">
      <c r="A206" t="s">
        <v>284</v>
      </c>
      <c r="B206" s="2">
        <v>46259</v>
      </c>
      <c r="C206">
        <v>2026</v>
      </c>
      <c r="D206" t="s">
        <v>23</v>
      </c>
      <c r="E206" t="s">
        <v>554</v>
      </c>
      <c r="F206" t="s">
        <v>35</v>
      </c>
      <c r="G206" t="s">
        <v>36</v>
      </c>
      <c r="H206" t="s">
        <v>36</v>
      </c>
      <c r="I206" t="s">
        <v>56</v>
      </c>
      <c r="J206" t="s">
        <v>92</v>
      </c>
      <c r="K206" t="s">
        <v>36</v>
      </c>
      <c r="L206" s="3">
        <v>6448000</v>
      </c>
      <c r="M206" s="3">
        <v>0</v>
      </c>
      <c r="N206" t="s">
        <v>58</v>
      </c>
      <c r="O206" t="s">
        <v>40</v>
      </c>
      <c r="P206" t="s">
        <v>31</v>
      </c>
      <c r="Q206" t="s">
        <v>32</v>
      </c>
      <c r="R206" t="s">
        <v>33</v>
      </c>
      <c r="S206" s="3">
        <v>-15032700</v>
      </c>
      <c r="T206" t="str">
        <f>TEXT(tblTransactions[[#This Row],[Date]],"mmm")</f>
        <v>Aug</v>
      </c>
      <c r="U206">
        <f>MONTH(tblTransactions[[#This Row],[Date]])</f>
        <v>8</v>
      </c>
      <c r="V206" t="str">
        <f>"Q"&amp;ROUNDUP(MONTH(tblTransactions[[#This Row],[Date]])/3,0)</f>
        <v>Q3</v>
      </c>
    </row>
    <row r="207" spans="1:22" x14ac:dyDescent="0.25">
      <c r="A207" t="s">
        <v>285</v>
      </c>
      <c r="B207" s="2">
        <v>46260</v>
      </c>
      <c r="C207">
        <v>2026</v>
      </c>
      <c r="D207" t="s">
        <v>42</v>
      </c>
      <c r="E207" t="s">
        <v>553</v>
      </c>
      <c r="F207" t="s">
        <v>24</v>
      </c>
      <c r="G207" t="s">
        <v>70</v>
      </c>
      <c r="H207" t="s">
        <v>71</v>
      </c>
      <c r="I207" t="s">
        <v>42</v>
      </c>
      <c r="J207" t="s">
        <v>38</v>
      </c>
      <c r="K207" t="s">
        <v>71</v>
      </c>
      <c r="L207" s="3">
        <v>286700</v>
      </c>
      <c r="M207" s="3">
        <v>1487900</v>
      </c>
      <c r="N207" t="s">
        <v>51</v>
      </c>
      <c r="O207" t="s">
        <v>109</v>
      </c>
      <c r="P207" t="s">
        <v>31</v>
      </c>
      <c r="Q207" t="s">
        <v>32</v>
      </c>
      <c r="R207" t="s">
        <v>32</v>
      </c>
      <c r="S207" s="3">
        <v>-15319400</v>
      </c>
      <c r="T207" t="str">
        <f>TEXT(tblTransactions[[#This Row],[Date]],"mmm")</f>
        <v>Aug</v>
      </c>
      <c r="U207">
        <f>MONTH(tblTransactions[[#This Row],[Date]])</f>
        <v>8</v>
      </c>
      <c r="V207" t="str">
        <f>"Q"&amp;ROUNDUP(MONTH(tblTransactions[[#This Row],[Date]])/3,0)</f>
        <v>Q3</v>
      </c>
    </row>
    <row r="208" spans="1:22" x14ac:dyDescent="0.25">
      <c r="A208" t="s">
        <v>286</v>
      </c>
      <c r="B208" s="2">
        <v>46261</v>
      </c>
      <c r="C208">
        <v>2026</v>
      </c>
      <c r="D208" t="s">
        <v>68</v>
      </c>
      <c r="E208" t="s">
        <v>556</v>
      </c>
      <c r="F208" t="s">
        <v>24</v>
      </c>
      <c r="G208" t="s">
        <v>62</v>
      </c>
      <c r="H208" t="s">
        <v>63</v>
      </c>
      <c r="I208" t="s">
        <v>37</v>
      </c>
      <c r="J208" t="s">
        <v>78</v>
      </c>
      <c r="K208" t="s">
        <v>63</v>
      </c>
      <c r="L208" s="3">
        <v>94700</v>
      </c>
      <c r="M208" s="3">
        <v>278400</v>
      </c>
      <c r="N208" t="s">
        <v>51</v>
      </c>
      <c r="O208" t="s">
        <v>30</v>
      </c>
      <c r="P208" t="s">
        <v>31</v>
      </c>
      <c r="Q208" t="s">
        <v>33</v>
      </c>
      <c r="R208" t="s">
        <v>32</v>
      </c>
      <c r="S208" s="3">
        <v>-15414100</v>
      </c>
      <c r="T208" t="str">
        <f>TEXT(tblTransactions[[#This Row],[Date]],"mmm")</f>
        <v>Aug</v>
      </c>
      <c r="U208">
        <f>MONTH(tblTransactions[[#This Row],[Date]])</f>
        <v>8</v>
      </c>
      <c r="V208" t="str">
        <f>"Q"&amp;ROUNDUP(MONTH(tblTransactions[[#This Row],[Date]])/3,0)</f>
        <v>Q3</v>
      </c>
    </row>
    <row r="209" spans="1:22" x14ac:dyDescent="0.25">
      <c r="A209" t="s">
        <v>287</v>
      </c>
      <c r="B209" s="2">
        <v>46262</v>
      </c>
      <c r="C209">
        <v>2026</v>
      </c>
      <c r="D209" t="s">
        <v>23</v>
      </c>
      <c r="E209" t="s">
        <v>552</v>
      </c>
      <c r="F209" t="s">
        <v>24</v>
      </c>
      <c r="G209" t="s">
        <v>101</v>
      </c>
      <c r="H209" t="s">
        <v>102</v>
      </c>
      <c r="I209" t="s">
        <v>50</v>
      </c>
      <c r="J209" t="s">
        <v>78</v>
      </c>
      <c r="K209" t="s">
        <v>102</v>
      </c>
      <c r="L209" s="3">
        <v>1858700</v>
      </c>
      <c r="M209" s="3">
        <v>567200</v>
      </c>
      <c r="N209" t="s">
        <v>39</v>
      </c>
      <c r="O209" t="s">
        <v>66</v>
      </c>
      <c r="P209" t="s">
        <v>31</v>
      </c>
      <c r="Q209" t="s">
        <v>32</v>
      </c>
      <c r="R209" t="s">
        <v>33</v>
      </c>
      <c r="S209" s="3">
        <v>-17272800</v>
      </c>
      <c r="T209" t="str">
        <f>TEXT(tblTransactions[[#This Row],[Date]],"mmm")</f>
        <v>Aug</v>
      </c>
      <c r="U209">
        <f>MONTH(tblTransactions[[#This Row],[Date]])</f>
        <v>8</v>
      </c>
      <c r="V209" t="str">
        <f>"Q"&amp;ROUNDUP(MONTH(tblTransactions[[#This Row],[Date]])/3,0)</f>
        <v>Q3</v>
      </c>
    </row>
    <row r="210" spans="1:22" x14ac:dyDescent="0.25">
      <c r="A210" t="s">
        <v>288</v>
      </c>
      <c r="B210" s="2">
        <v>46264</v>
      </c>
      <c r="C210">
        <v>2026</v>
      </c>
      <c r="D210" t="s">
        <v>68</v>
      </c>
      <c r="E210" t="s">
        <v>557</v>
      </c>
      <c r="F210" t="s">
        <v>35</v>
      </c>
      <c r="G210" t="s">
        <v>36</v>
      </c>
      <c r="H210" t="s">
        <v>36</v>
      </c>
      <c r="I210" t="s">
        <v>45</v>
      </c>
      <c r="J210" t="s">
        <v>78</v>
      </c>
      <c r="K210" t="s">
        <v>36</v>
      </c>
      <c r="L210" s="3">
        <v>508000</v>
      </c>
      <c r="M210" s="3">
        <v>0</v>
      </c>
      <c r="N210" t="s">
        <v>51</v>
      </c>
      <c r="O210" t="s">
        <v>52</v>
      </c>
      <c r="P210" t="s">
        <v>31</v>
      </c>
      <c r="Q210" t="s">
        <v>33</v>
      </c>
      <c r="R210" t="s">
        <v>33</v>
      </c>
      <c r="S210" s="3">
        <v>-16764800</v>
      </c>
      <c r="T210" t="str">
        <f>TEXT(tblTransactions[[#This Row],[Date]],"mmm")</f>
        <v>Aug</v>
      </c>
      <c r="U210">
        <f>MONTH(tblTransactions[[#This Row],[Date]])</f>
        <v>8</v>
      </c>
      <c r="V210" t="str">
        <f>"Q"&amp;ROUNDUP(MONTH(tblTransactions[[#This Row],[Date]])/3,0)</f>
        <v>Q3</v>
      </c>
    </row>
    <row r="211" spans="1:22" x14ac:dyDescent="0.25">
      <c r="A211" t="s">
        <v>289</v>
      </c>
      <c r="B211" s="2">
        <v>46265</v>
      </c>
      <c r="C211">
        <v>2026</v>
      </c>
      <c r="D211" t="s">
        <v>23</v>
      </c>
      <c r="E211" t="s">
        <v>556</v>
      </c>
      <c r="F211" t="s">
        <v>24</v>
      </c>
      <c r="G211" t="s">
        <v>43</v>
      </c>
      <c r="H211" t="s">
        <v>44</v>
      </c>
      <c r="I211" t="s">
        <v>50</v>
      </c>
      <c r="J211" t="s">
        <v>38</v>
      </c>
      <c r="K211" t="s">
        <v>44</v>
      </c>
      <c r="L211" s="3">
        <v>1288200</v>
      </c>
      <c r="M211" s="3">
        <v>494500</v>
      </c>
      <c r="N211" t="s">
        <v>51</v>
      </c>
      <c r="O211" t="s">
        <v>47</v>
      </c>
      <c r="P211" t="s">
        <v>31</v>
      </c>
      <c r="Q211" t="s">
        <v>33</v>
      </c>
      <c r="R211" t="s">
        <v>33</v>
      </c>
      <c r="S211" s="3">
        <v>-18053000</v>
      </c>
      <c r="T211" t="str">
        <f>TEXT(tblTransactions[[#This Row],[Date]],"mmm")</f>
        <v>Aug</v>
      </c>
      <c r="U211">
        <f>MONTH(tblTransactions[[#This Row],[Date]])</f>
        <v>8</v>
      </c>
      <c r="V211" t="str">
        <f>"Q"&amp;ROUNDUP(MONTH(tblTransactions[[#This Row],[Date]])/3,0)</f>
        <v>Q3</v>
      </c>
    </row>
    <row r="212" spans="1:22" x14ac:dyDescent="0.25">
      <c r="A212" t="s">
        <v>290</v>
      </c>
      <c r="B212" s="2">
        <v>46266</v>
      </c>
      <c r="C212">
        <v>2026</v>
      </c>
      <c r="D212" t="s">
        <v>42</v>
      </c>
      <c r="E212" t="s">
        <v>556</v>
      </c>
      <c r="F212" t="s">
        <v>24</v>
      </c>
      <c r="G212" t="s">
        <v>70</v>
      </c>
      <c r="H212" t="s">
        <v>71</v>
      </c>
      <c r="I212" t="s">
        <v>56</v>
      </c>
      <c r="J212" t="s">
        <v>78</v>
      </c>
      <c r="K212" t="s">
        <v>71</v>
      </c>
      <c r="L212" s="3">
        <v>1110200</v>
      </c>
      <c r="M212" s="3">
        <v>1623500</v>
      </c>
      <c r="N212" t="s">
        <v>29</v>
      </c>
      <c r="O212" t="s">
        <v>98</v>
      </c>
      <c r="P212" t="s">
        <v>31</v>
      </c>
      <c r="Q212" t="s">
        <v>33</v>
      </c>
      <c r="R212" t="s">
        <v>33</v>
      </c>
      <c r="S212" s="3">
        <v>-19163200</v>
      </c>
      <c r="T212" t="str">
        <f>TEXT(tblTransactions[[#This Row],[Date]],"mmm")</f>
        <v>Sep</v>
      </c>
      <c r="U212">
        <f>MONTH(tblTransactions[[#This Row],[Date]])</f>
        <v>9</v>
      </c>
      <c r="V212" t="str">
        <f>"Q"&amp;ROUNDUP(MONTH(tblTransactions[[#This Row],[Date]])/3,0)</f>
        <v>Q3</v>
      </c>
    </row>
    <row r="213" spans="1:22" x14ac:dyDescent="0.25">
      <c r="A213" t="s">
        <v>291</v>
      </c>
      <c r="B213" s="2">
        <v>46267</v>
      </c>
      <c r="C213">
        <v>2026</v>
      </c>
      <c r="D213" t="s">
        <v>23</v>
      </c>
      <c r="E213" t="s">
        <v>556</v>
      </c>
      <c r="F213" t="s">
        <v>35</v>
      </c>
      <c r="G213" t="s">
        <v>49</v>
      </c>
      <c r="H213" t="s">
        <v>49</v>
      </c>
      <c r="I213" t="s">
        <v>42</v>
      </c>
      <c r="J213" t="s">
        <v>64</v>
      </c>
      <c r="K213" t="s">
        <v>49</v>
      </c>
      <c r="L213" s="3">
        <v>915200</v>
      </c>
      <c r="M213" s="3">
        <v>0</v>
      </c>
      <c r="N213" t="s">
        <v>51</v>
      </c>
      <c r="O213" t="s">
        <v>52</v>
      </c>
      <c r="P213" t="s">
        <v>31</v>
      </c>
      <c r="Q213" t="s">
        <v>33</v>
      </c>
      <c r="R213" t="s">
        <v>32</v>
      </c>
      <c r="S213" s="3">
        <v>-18248000</v>
      </c>
      <c r="T213" t="str">
        <f>TEXT(tblTransactions[[#This Row],[Date]],"mmm")</f>
        <v>Sep</v>
      </c>
      <c r="U213">
        <f>MONTH(tblTransactions[[#This Row],[Date]])</f>
        <v>9</v>
      </c>
      <c r="V213" t="str">
        <f>"Q"&amp;ROUNDUP(MONTH(tblTransactions[[#This Row],[Date]])/3,0)</f>
        <v>Q3</v>
      </c>
    </row>
    <row r="214" spans="1:22" x14ac:dyDescent="0.25">
      <c r="A214" t="s">
        <v>292</v>
      </c>
      <c r="B214" s="2">
        <v>46268</v>
      </c>
      <c r="C214">
        <v>2026</v>
      </c>
      <c r="D214" t="s">
        <v>42</v>
      </c>
      <c r="E214" t="s">
        <v>557</v>
      </c>
      <c r="F214" t="s">
        <v>24</v>
      </c>
      <c r="G214" t="s">
        <v>54</v>
      </c>
      <c r="H214" t="s">
        <v>55</v>
      </c>
      <c r="I214" t="s">
        <v>56</v>
      </c>
      <c r="J214" t="s">
        <v>38</v>
      </c>
      <c r="K214" t="s">
        <v>55</v>
      </c>
      <c r="L214" s="3">
        <v>1777200</v>
      </c>
      <c r="M214" s="3">
        <v>1491600</v>
      </c>
      <c r="N214" t="s">
        <v>29</v>
      </c>
      <c r="O214" t="s">
        <v>66</v>
      </c>
      <c r="P214" t="s">
        <v>31</v>
      </c>
      <c r="Q214" t="s">
        <v>33</v>
      </c>
      <c r="R214" t="s">
        <v>33</v>
      </c>
      <c r="S214" s="3">
        <v>-20025200</v>
      </c>
      <c r="T214" t="str">
        <f>TEXT(tblTransactions[[#This Row],[Date]],"mmm")</f>
        <v>Sep</v>
      </c>
      <c r="U214">
        <f>MONTH(tblTransactions[[#This Row],[Date]])</f>
        <v>9</v>
      </c>
      <c r="V214" t="str">
        <f>"Q"&amp;ROUNDUP(MONTH(tblTransactions[[#This Row],[Date]])/3,0)</f>
        <v>Q3</v>
      </c>
    </row>
    <row r="215" spans="1:22" x14ac:dyDescent="0.25">
      <c r="A215" t="s">
        <v>293</v>
      </c>
      <c r="B215" s="2">
        <v>46269</v>
      </c>
      <c r="C215">
        <v>2026</v>
      </c>
      <c r="D215" t="s">
        <v>68</v>
      </c>
      <c r="E215" t="s">
        <v>553</v>
      </c>
      <c r="F215" t="s">
        <v>24</v>
      </c>
      <c r="G215" t="s">
        <v>54</v>
      </c>
      <c r="H215" t="s">
        <v>55</v>
      </c>
      <c r="I215" t="s">
        <v>50</v>
      </c>
      <c r="J215" t="s">
        <v>115</v>
      </c>
      <c r="K215" t="s">
        <v>55</v>
      </c>
      <c r="L215" s="3">
        <v>1669000</v>
      </c>
      <c r="M215" s="3">
        <v>615300</v>
      </c>
      <c r="N215" t="s">
        <v>29</v>
      </c>
      <c r="O215" t="s">
        <v>60</v>
      </c>
      <c r="P215" t="s">
        <v>31</v>
      </c>
      <c r="Q215" t="s">
        <v>33</v>
      </c>
      <c r="R215" t="s">
        <v>33</v>
      </c>
      <c r="S215" s="3">
        <v>-21694200</v>
      </c>
      <c r="T215" t="str">
        <f>TEXT(tblTransactions[[#This Row],[Date]],"mmm")</f>
        <v>Sep</v>
      </c>
      <c r="U215">
        <f>MONTH(tblTransactions[[#This Row],[Date]])</f>
        <v>9</v>
      </c>
      <c r="V215" t="str">
        <f>"Q"&amp;ROUNDUP(MONTH(tblTransactions[[#This Row],[Date]])/3,0)</f>
        <v>Q3</v>
      </c>
    </row>
    <row r="216" spans="1:22" x14ac:dyDescent="0.25">
      <c r="A216" t="s">
        <v>294</v>
      </c>
      <c r="B216" s="2">
        <v>46270</v>
      </c>
      <c r="C216">
        <v>2026</v>
      </c>
      <c r="D216" t="s">
        <v>68</v>
      </c>
      <c r="E216" t="s">
        <v>557</v>
      </c>
      <c r="F216" t="s">
        <v>35</v>
      </c>
      <c r="G216" t="s">
        <v>95</v>
      </c>
      <c r="H216" t="s">
        <v>96</v>
      </c>
      <c r="I216" t="s">
        <v>50</v>
      </c>
      <c r="J216" t="s">
        <v>92</v>
      </c>
      <c r="K216" t="s">
        <v>96</v>
      </c>
      <c r="L216" s="3">
        <v>7692400</v>
      </c>
      <c r="M216" s="3">
        <v>0</v>
      </c>
      <c r="N216" t="s">
        <v>51</v>
      </c>
      <c r="O216" t="s">
        <v>72</v>
      </c>
      <c r="P216" t="s">
        <v>31</v>
      </c>
      <c r="Q216" t="s">
        <v>33</v>
      </c>
      <c r="R216" t="s">
        <v>33</v>
      </c>
      <c r="S216" s="3">
        <v>-14001800</v>
      </c>
      <c r="T216" t="str">
        <f>TEXT(tblTransactions[[#This Row],[Date]],"mmm")</f>
        <v>Sep</v>
      </c>
      <c r="U216">
        <f>MONTH(tblTransactions[[#This Row],[Date]])</f>
        <v>9</v>
      </c>
      <c r="V216" t="str">
        <f>"Q"&amp;ROUNDUP(MONTH(tblTransactions[[#This Row],[Date]])/3,0)</f>
        <v>Q3</v>
      </c>
    </row>
    <row r="217" spans="1:22" x14ac:dyDescent="0.25">
      <c r="A217" t="s">
        <v>295</v>
      </c>
      <c r="B217" s="2">
        <v>46271</v>
      </c>
      <c r="C217">
        <v>2026</v>
      </c>
      <c r="D217" t="s">
        <v>42</v>
      </c>
      <c r="E217" t="s">
        <v>556</v>
      </c>
      <c r="F217" t="s">
        <v>24</v>
      </c>
      <c r="G217" t="s">
        <v>107</v>
      </c>
      <c r="H217" t="s">
        <v>108</v>
      </c>
      <c r="I217" t="s">
        <v>45</v>
      </c>
      <c r="J217" t="s">
        <v>87</v>
      </c>
      <c r="K217" t="s">
        <v>108</v>
      </c>
      <c r="L217" s="3">
        <v>1364000</v>
      </c>
      <c r="M217" s="3">
        <v>1335100</v>
      </c>
      <c r="N217" t="s">
        <v>58</v>
      </c>
      <c r="O217" t="s">
        <v>72</v>
      </c>
      <c r="P217" t="s">
        <v>31</v>
      </c>
      <c r="Q217" t="s">
        <v>32</v>
      </c>
      <c r="R217" t="s">
        <v>33</v>
      </c>
      <c r="S217" s="3">
        <v>-15365800</v>
      </c>
      <c r="T217" t="str">
        <f>TEXT(tblTransactions[[#This Row],[Date]],"mmm")</f>
        <v>Sep</v>
      </c>
      <c r="U217">
        <f>MONTH(tblTransactions[[#This Row],[Date]])</f>
        <v>9</v>
      </c>
      <c r="V217" t="str">
        <f>"Q"&amp;ROUNDUP(MONTH(tblTransactions[[#This Row],[Date]])/3,0)</f>
        <v>Q3</v>
      </c>
    </row>
    <row r="218" spans="1:22" x14ac:dyDescent="0.25">
      <c r="A218" t="s">
        <v>296</v>
      </c>
      <c r="B218" s="2">
        <v>46272</v>
      </c>
      <c r="C218">
        <v>2026</v>
      </c>
      <c r="D218" t="s">
        <v>68</v>
      </c>
      <c r="E218" t="s">
        <v>552</v>
      </c>
      <c r="F218" t="s">
        <v>35</v>
      </c>
      <c r="G218" t="s">
        <v>49</v>
      </c>
      <c r="H218" t="s">
        <v>49</v>
      </c>
      <c r="I218" t="s">
        <v>50</v>
      </c>
      <c r="J218" t="s">
        <v>92</v>
      </c>
      <c r="K218" t="s">
        <v>49</v>
      </c>
      <c r="L218" s="3">
        <v>274100</v>
      </c>
      <c r="M218" s="3">
        <v>0</v>
      </c>
      <c r="N218" t="s">
        <v>29</v>
      </c>
      <c r="O218" t="s">
        <v>98</v>
      </c>
      <c r="P218" t="s">
        <v>31</v>
      </c>
      <c r="Q218" t="s">
        <v>33</v>
      </c>
      <c r="R218" t="s">
        <v>33</v>
      </c>
      <c r="S218" s="3">
        <v>-15091700</v>
      </c>
      <c r="T218" t="str">
        <f>TEXT(tblTransactions[[#This Row],[Date]],"mmm")</f>
        <v>Sep</v>
      </c>
      <c r="U218">
        <f>MONTH(tblTransactions[[#This Row],[Date]])</f>
        <v>9</v>
      </c>
      <c r="V218" t="str">
        <f>"Q"&amp;ROUNDUP(MONTH(tblTransactions[[#This Row],[Date]])/3,0)</f>
        <v>Q3</v>
      </c>
    </row>
    <row r="219" spans="1:22" x14ac:dyDescent="0.25">
      <c r="A219" t="s">
        <v>297</v>
      </c>
      <c r="B219" s="2">
        <v>46273</v>
      </c>
      <c r="C219">
        <v>2026</v>
      </c>
      <c r="D219" t="s">
        <v>23</v>
      </c>
      <c r="E219" t="s">
        <v>557</v>
      </c>
      <c r="F219" t="s">
        <v>24</v>
      </c>
      <c r="G219" t="s">
        <v>101</v>
      </c>
      <c r="H219" t="s">
        <v>102</v>
      </c>
      <c r="I219" t="s">
        <v>27</v>
      </c>
      <c r="J219" t="s">
        <v>87</v>
      </c>
      <c r="K219" t="s">
        <v>102</v>
      </c>
      <c r="L219" s="3">
        <v>182700</v>
      </c>
      <c r="M219" s="3">
        <v>1956700</v>
      </c>
      <c r="N219" t="s">
        <v>58</v>
      </c>
      <c r="O219" t="s">
        <v>52</v>
      </c>
      <c r="P219" t="s">
        <v>31</v>
      </c>
      <c r="Q219" t="s">
        <v>33</v>
      </c>
      <c r="R219" t="s">
        <v>33</v>
      </c>
      <c r="S219" s="3">
        <v>-15274400</v>
      </c>
      <c r="T219" t="str">
        <f>TEXT(tblTransactions[[#This Row],[Date]],"mmm")</f>
        <v>Sep</v>
      </c>
      <c r="U219">
        <f>MONTH(tblTransactions[[#This Row],[Date]])</f>
        <v>9</v>
      </c>
      <c r="V219" t="str">
        <f>"Q"&amp;ROUNDUP(MONTH(tblTransactions[[#This Row],[Date]])/3,0)</f>
        <v>Q3</v>
      </c>
    </row>
    <row r="220" spans="1:22" x14ac:dyDescent="0.25">
      <c r="A220" t="s">
        <v>298</v>
      </c>
      <c r="B220" s="2">
        <v>46274</v>
      </c>
      <c r="C220">
        <v>2026</v>
      </c>
      <c r="D220" t="s">
        <v>42</v>
      </c>
      <c r="E220" t="s">
        <v>556</v>
      </c>
      <c r="F220" t="s">
        <v>24</v>
      </c>
      <c r="G220" t="s">
        <v>74</v>
      </c>
      <c r="H220" t="s">
        <v>75</v>
      </c>
      <c r="I220" t="s">
        <v>45</v>
      </c>
      <c r="J220" t="s">
        <v>57</v>
      </c>
      <c r="K220" t="s">
        <v>75</v>
      </c>
      <c r="L220" s="3">
        <v>296300</v>
      </c>
      <c r="M220" s="3">
        <v>1789300</v>
      </c>
      <c r="N220" t="s">
        <v>51</v>
      </c>
      <c r="O220" t="s">
        <v>98</v>
      </c>
      <c r="P220" t="s">
        <v>31</v>
      </c>
      <c r="Q220" t="s">
        <v>33</v>
      </c>
      <c r="R220" t="s">
        <v>32</v>
      </c>
      <c r="S220" s="3">
        <v>-15570700</v>
      </c>
      <c r="T220" t="str">
        <f>TEXT(tblTransactions[[#This Row],[Date]],"mmm")</f>
        <v>Sep</v>
      </c>
      <c r="U220">
        <f>MONTH(tblTransactions[[#This Row],[Date]])</f>
        <v>9</v>
      </c>
      <c r="V220" t="str">
        <f>"Q"&amp;ROUNDUP(MONTH(tblTransactions[[#This Row],[Date]])/3,0)</f>
        <v>Q3</v>
      </c>
    </row>
    <row r="221" spans="1:22" x14ac:dyDescent="0.25">
      <c r="A221" t="s">
        <v>299</v>
      </c>
      <c r="B221" s="2">
        <v>46275</v>
      </c>
      <c r="C221">
        <v>2026</v>
      </c>
      <c r="D221" t="s">
        <v>68</v>
      </c>
      <c r="E221" t="s">
        <v>556</v>
      </c>
      <c r="F221" t="s">
        <v>24</v>
      </c>
      <c r="G221" t="s">
        <v>74</v>
      </c>
      <c r="H221" t="s">
        <v>75</v>
      </c>
      <c r="I221" t="s">
        <v>42</v>
      </c>
      <c r="J221" t="s">
        <v>92</v>
      </c>
      <c r="K221" t="s">
        <v>75</v>
      </c>
      <c r="L221" s="3">
        <v>473000</v>
      </c>
      <c r="M221" s="3">
        <v>694600</v>
      </c>
      <c r="N221" t="s">
        <v>58</v>
      </c>
      <c r="O221" t="s">
        <v>76</v>
      </c>
      <c r="P221" t="s">
        <v>31</v>
      </c>
      <c r="Q221" t="s">
        <v>32</v>
      </c>
      <c r="R221" t="s">
        <v>33</v>
      </c>
      <c r="S221" s="3">
        <v>-16043700</v>
      </c>
      <c r="T221" t="str">
        <f>TEXT(tblTransactions[[#This Row],[Date]],"mmm")</f>
        <v>Sep</v>
      </c>
      <c r="U221">
        <f>MONTH(tblTransactions[[#This Row],[Date]])</f>
        <v>9</v>
      </c>
      <c r="V221" t="str">
        <f>"Q"&amp;ROUNDUP(MONTH(tblTransactions[[#This Row],[Date]])/3,0)</f>
        <v>Q3</v>
      </c>
    </row>
    <row r="222" spans="1:22" x14ac:dyDescent="0.25">
      <c r="A222" t="s">
        <v>300</v>
      </c>
      <c r="B222" s="2">
        <v>46276</v>
      </c>
      <c r="C222">
        <v>2026</v>
      </c>
      <c r="D222" t="s">
        <v>42</v>
      </c>
      <c r="E222" t="s">
        <v>553</v>
      </c>
      <c r="F222" t="s">
        <v>24</v>
      </c>
      <c r="G222" t="s">
        <v>54</v>
      </c>
      <c r="H222" t="s">
        <v>55</v>
      </c>
      <c r="I222" t="s">
        <v>37</v>
      </c>
      <c r="J222" t="s">
        <v>28</v>
      </c>
      <c r="K222" t="s">
        <v>55</v>
      </c>
      <c r="L222" s="3">
        <v>963600</v>
      </c>
      <c r="M222" s="3">
        <v>1979600</v>
      </c>
      <c r="N222" t="s">
        <v>51</v>
      </c>
      <c r="O222" t="s">
        <v>52</v>
      </c>
      <c r="P222" t="s">
        <v>31</v>
      </c>
      <c r="Q222" t="s">
        <v>33</v>
      </c>
      <c r="R222" t="s">
        <v>33</v>
      </c>
      <c r="S222" s="3">
        <v>-17007300</v>
      </c>
      <c r="T222" t="str">
        <f>TEXT(tblTransactions[[#This Row],[Date]],"mmm")</f>
        <v>Sep</v>
      </c>
      <c r="U222">
        <f>MONTH(tblTransactions[[#This Row],[Date]])</f>
        <v>9</v>
      </c>
      <c r="V222" t="str">
        <f>"Q"&amp;ROUNDUP(MONTH(tblTransactions[[#This Row],[Date]])/3,0)</f>
        <v>Q3</v>
      </c>
    </row>
    <row r="223" spans="1:22" x14ac:dyDescent="0.25">
      <c r="A223" t="s">
        <v>301</v>
      </c>
      <c r="B223" s="2">
        <v>46277</v>
      </c>
      <c r="C223">
        <v>2026</v>
      </c>
      <c r="D223" t="s">
        <v>23</v>
      </c>
      <c r="E223" t="s">
        <v>557</v>
      </c>
      <c r="F223" t="s">
        <v>24</v>
      </c>
      <c r="G223" t="s">
        <v>70</v>
      </c>
      <c r="H223" t="s">
        <v>71</v>
      </c>
      <c r="I223" t="s">
        <v>56</v>
      </c>
      <c r="J223" t="s">
        <v>57</v>
      </c>
      <c r="K223" t="s">
        <v>71</v>
      </c>
      <c r="L223" s="3">
        <v>1411800</v>
      </c>
      <c r="M223" s="3">
        <v>1154400</v>
      </c>
      <c r="N223" t="s">
        <v>39</v>
      </c>
      <c r="O223" t="s">
        <v>30</v>
      </c>
      <c r="P223" t="s">
        <v>31</v>
      </c>
      <c r="Q223" t="s">
        <v>32</v>
      </c>
      <c r="R223" t="s">
        <v>32</v>
      </c>
      <c r="S223" s="3">
        <v>-18419100</v>
      </c>
      <c r="T223" t="str">
        <f>TEXT(tblTransactions[[#This Row],[Date]],"mmm")</f>
        <v>Sep</v>
      </c>
      <c r="U223">
        <f>MONTH(tblTransactions[[#This Row],[Date]])</f>
        <v>9</v>
      </c>
      <c r="V223" t="str">
        <f>"Q"&amp;ROUNDUP(MONTH(tblTransactions[[#This Row],[Date]])/3,0)</f>
        <v>Q3</v>
      </c>
    </row>
    <row r="224" spans="1:22" x14ac:dyDescent="0.25">
      <c r="A224" t="s">
        <v>302</v>
      </c>
      <c r="B224" s="2">
        <v>46278</v>
      </c>
      <c r="C224">
        <v>2026</v>
      </c>
      <c r="D224" t="s">
        <v>42</v>
      </c>
      <c r="E224" t="s">
        <v>554</v>
      </c>
      <c r="F224" t="s">
        <v>24</v>
      </c>
      <c r="G224" t="s">
        <v>107</v>
      </c>
      <c r="H224" t="s">
        <v>108</v>
      </c>
      <c r="I224" t="s">
        <v>56</v>
      </c>
      <c r="J224" t="s">
        <v>57</v>
      </c>
      <c r="K224" t="s">
        <v>108</v>
      </c>
      <c r="L224" s="3">
        <v>1974500</v>
      </c>
      <c r="M224" s="3">
        <v>946200</v>
      </c>
      <c r="N224" t="s">
        <v>51</v>
      </c>
      <c r="O224" t="s">
        <v>30</v>
      </c>
      <c r="P224" t="s">
        <v>31</v>
      </c>
      <c r="Q224" t="s">
        <v>33</v>
      </c>
      <c r="R224" t="s">
        <v>32</v>
      </c>
      <c r="S224" s="3">
        <v>-20393600</v>
      </c>
      <c r="T224" t="str">
        <f>TEXT(tblTransactions[[#This Row],[Date]],"mmm")</f>
        <v>Sep</v>
      </c>
      <c r="U224">
        <f>MONTH(tblTransactions[[#This Row],[Date]])</f>
        <v>9</v>
      </c>
      <c r="V224" t="str">
        <f>"Q"&amp;ROUNDUP(MONTH(tblTransactions[[#This Row],[Date]])/3,0)</f>
        <v>Q3</v>
      </c>
    </row>
    <row r="225" spans="1:22" x14ac:dyDescent="0.25">
      <c r="A225" t="s">
        <v>303</v>
      </c>
      <c r="B225" s="2">
        <v>46279</v>
      </c>
      <c r="C225">
        <v>2026</v>
      </c>
      <c r="D225" t="s">
        <v>23</v>
      </c>
      <c r="E225" t="s">
        <v>553</v>
      </c>
      <c r="F225" t="s">
        <v>24</v>
      </c>
      <c r="G225" t="s">
        <v>101</v>
      </c>
      <c r="H225" t="s">
        <v>102</v>
      </c>
      <c r="I225" t="s">
        <v>27</v>
      </c>
      <c r="J225" t="s">
        <v>64</v>
      </c>
      <c r="K225" t="s">
        <v>102</v>
      </c>
      <c r="L225" s="3">
        <v>73800</v>
      </c>
      <c r="M225" s="3">
        <v>1372800</v>
      </c>
      <c r="N225" t="s">
        <v>58</v>
      </c>
      <c r="O225" t="s">
        <v>76</v>
      </c>
      <c r="P225" t="s">
        <v>31</v>
      </c>
      <c r="Q225" t="s">
        <v>32</v>
      </c>
      <c r="R225" t="s">
        <v>33</v>
      </c>
      <c r="S225" s="3">
        <v>-20467400</v>
      </c>
      <c r="T225" t="str">
        <f>TEXT(tblTransactions[[#This Row],[Date]],"mmm")</f>
        <v>Sep</v>
      </c>
      <c r="U225">
        <f>MONTH(tblTransactions[[#This Row],[Date]])</f>
        <v>9</v>
      </c>
      <c r="V225" t="str">
        <f>"Q"&amp;ROUNDUP(MONTH(tblTransactions[[#This Row],[Date]])/3,0)</f>
        <v>Q3</v>
      </c>
    </row>
    <row r="226" spans="1:22" x14ac:dyDescent="0.25">
      <c r="A226" t="s">
        <v>304</v>
      </c>
      <c r="B226" s="2">
        <v>46280</v>
      </c>
      <c r="C226">
        <v>2026</v>
      </c>
      <c r="D226" t="s">
        <v>23</v>
      </c>
      <c r="E226" t="s">
        <v>555</v>
      </c>
      <c r="F226" t="s">
        <v>24</v>
      </c>
      <c r="G226" t="s">
        <v>107</v>
      </c>
      <c r="H226" t="s">
        <v>108</v>
      </c>
      <c r="I226" t="s">
        <v>37</v>
      </c>
      <c r="J226" t="s">
        <v>57</v>
      </c>
      <c r="K226" t="s">
        <v>108</v>
      </c>
      <c r="L226" s="3">
        <v>139300</v>
      </c>
      <c r="M226" s="3">
        <v>334400</v>
      </c>
      <c r="N226" t="s">
        <v>58</v>
      </c>
      <c r="O226" t="s">
        <v>109</v>
      </c>
      <c r="P226" t="s">
        <v>31</v>
      </c>
      <c r="Q226" t="s">
        <v>33</v>
      </c>
      <c r="R226" t="s">
        <v>32</v>
      </c>
      <c r="S226" s="3">
        <v>-20606700</v>
      </c>
      <c r="T226" t="str">
        <f>TEXT(tblTransactions[[#This Row],[Date]],"mmm")</f>
        <v>Sep</v>
      </c>
      <c r="U226">
        <f>MONTH(tblTransactions[[#This Row],[Date]])</f>
        <v>9</v>
      </c>
      <c r="V226" t="str">
        <f>"Q"&amp;ROUNDUP(MONTH(tblTransactions[[#This Row],[Date]])/3,0)</f>
        <v>Q3</v>
      </c>
    </row>
    <row r="227" spans="1:22" x14ac:dyDescent="0.25">
      <c r="A227" t="s">
        <v>305</v>
      </c>
      <c r="B227" s="2">
        <v>46281</v>
      </c>
      <c r="C227">
        <v>2026</v>
      </c>
      <c r="D227" t="s">
        <v>68</v>
      </c>
      <c r="E227" t="s">
        <v>552</v>
      </c>
      <c r="F227" t="s">
        <v>35</v>
      </c>
      <c r="G227" t="s">
        <v>80</v>
      </c>
      <c r="H227" t="s">
        <v>81</v>
      </c>
      <c r="I227" t="s">
        <v>37</v>
      </c>
      <c r="J227" t="s">
        <v>38</v>
      </c>
      <c r="K227" t="s">
        <v>81</v>
      </c>
      <c r="L227" s="3">
        <v>3763500</v>
      </c>
      <c r="M227" s="3">
        <v>0</v>
      </c>
      <c r="N227" t="s">
        <v>39</v>
      </c>
      <c r="O227" t="s">
        <v>76</v>
      </c>
      <c r="P227" t="s">
        <v>31</v>
      </c>
      <c r="Q227" t="s">
        <v>33</v>
      </c>
      <c r="R227" t="s">
        <v>32</v>
      </c>
      <c r="S227" s="3">
        <v>-16843200</v>
      </c>
      <c r="T227" t="str">
        <f>TEXT(tblTransactions[[#This Row],[Date]],"mmm")</f>
        <v>Sep</v>
      </c>
      <c r="U227">
        <f>MONTH(tblTransactions[[#This Row],[Date]])</f>
        <v>9</v>
      </c>
      <c r="V227" t="str">
        <f>"Q"&amp;ROUNDUP(MONTH(tblTransactions[[#This Row],[Date]])/3,0)</f>
        <v>Q3</v>
      </c>
    </row>
    <row r="228" spans="1:22" x14ac:dyDescent="0.25">
      <c r="A228" t="s">
        <v>306</v>
      </c>
      <c r="B228" s="2">
        <v>46282</v>
      </c>
      <c r="C228">
        <v>2026</v>
      </c>
      <c r="D228" t="s">
        <v>23</v>
      </c>
      <c r="E228" t="s">
        <v>552</v>
      </c>
      <c r="F228" t="s">
        <v>24</v>
      </c>
      <c r="G228" t="s">
        <v>107</v>
      </c>
      <c r="H228" t="s">
        <v>108</v>
      </c>
      <c r="I228" t="s">
        <v>56</v>
      </c>
      <c r="J228" t="s">
        <v>92</v>
      </c>
      <c r="K228" t="s">
        <v>108</v>
      </c>
      <c r="L228" s="3">
        <v>1212500</v>
      </c>
      <c r="M228" s="3">
        <v>1670300</v>
      </c>
      <c r="N228" t="s">
        <v>58</v>
      </c>
      <c r="O228" t="s">
        <v>76</v>
      </c>
      <c r="P228" t="s">
        <v>31</v>
      </c>
      <c r="Q228" t="s">
        <v>32</v>
      </c>
      <c r="R228" t="s">
        <v>33</v>
      </c>
      <c r="S228" s="3">
        <v>-18055700</v>
      </c>
      <c r="T228" t="str">
        <f>TEXT(tblTransactions[[#This Row],[Date]],"mmm")</f>
        <v>Sep</v>
      </c>
      <c r="U228">
        <f>MONTH(tblTransactions[[#This Row],[Date]])</f>
        <v>9</v>
      </c>
      <c r="V228" t="str">
        <f>"Q"&amp;ROUNDUP(MONTH(tblTransactions[[#This Row],[Date]])/3,0)</f>
        <v>Q3</v>
      </c>
    </row>
    <row r="229" spans="1:22" x14ac:dyDescent="0.25">
      <c r="A229" t="s">
        <v>307</v>
      </c>
      <c r="B229" s="2">
        <v>46283</v>
      </c>
      <c r="C229">
        <v>2026</v>
      </c>
      <c r="D229" t="s">
        <v>23</v>
      </c>
      <c r="E229" t="s">
        <v>557</v>
      </c>
      <c r="F229" t="s">
        <v>24</v>
      </c>
      <c r="G229" t="s">
        <v>101</v>
      </c>
      <c r="H229" t="s">
        <v>102</v>
      </c>
      <c r="I229" t="s">
        <v>27</v>
      </c>
      <c r="J229" t="s">
        <v>46</v>
      </c>
      <c r="K229" t="s">
        <v>102</v>
      </c>
      <c r="L229" s="3">
        <v>1805200</v>
      </c>
      <c r="M229" s="3">
        <v>832900</v>
      </c>
      <c r="N229" t="s">
        <v>58</v>
      </c>
      <c r="O229" t="s">
        <v>98</v>
      </c>
      <c r="P229" t="s">
        <v>31</v>
      </c>
      <c r="Q229" t="s">
        <v>33</v>
      </c>
      <c r="R229" t="s">
        <v>32</v>
      </c>
      <c r="S229" s="3">
        <v>-19860900</v>
      </c>
      <c r="T229" t="str">
        <f>TEXT(tblTransactions[[#This Row],[Date]],"mmm")</f>
        <v>Sep</v>
      </c>
      <c r="U229">
        <f>MONTH(tblTransactions[[#This Row],[Date]])</f>
        <v>9</v>
      </c>
      <c r="V229" t="str">
        <f>"Q"&amp;ROUNDUP(MONTH(tblTransactions[[#This Row],[Date]])/3,0)</f>
        <v>Q3</v>
      </c>
    </row>
    <row r="230" spans="1:22" x14ac:dyDescent="0.25">
      <c r="A230" t="s">
        <v>308</v>
      </c>
      <c r="B230" s="2">
        <v>46284</v>
      </c>
      <c r="C230">
        <v>2026</v>
      </c>
      <c r="D230" t="s">
        <v>42</v>
      </c>
      <c r="E230" t="s">
        <v>552</v>
      </c>
      <c r="F230" t="s">
        <v>24</v>
      </c>
      <c r="G230" t="s">
        <v>101</v>
      </c>
      <c r="H230" t="s">
        <v>102</v>
      </c>
      <c r="I230" t="s">
        <v>42</v>
      </c>
      <c r="J230" t="s">
        <v>115</v>
      </c>
      <c r="K230" t="s">
        <v>102</v>
      </c>
      <c r="L230" s="3">
        <v>521600</v>
      </c>
      <c r="M230" s="3">
        <v>221000</v>
      </c>
      <c r="N230" t="s">
        <v>29</v>
      </c>
      <c r="O230" t="s">
        <v>40</v>
      </c>
      <c r="P230" t="s">
        <v>31</v>
      </c>
      <c r="Q230" t="s">
        <v>33</v>
      </c>
      <c r="R230" t="s">
        <v>33</v>
      </c>
      <c r="S230" s="3">
        <v>-20382500</v>
      </c>
      <c r="T230" t="str">
        <f>TEXT(tblTransactions[[#This Row],[Date]],"mmm")</f>
        <v>Sep</v>
      </c>
      <c r="U230">
        <f>MONTH(tblTransactions[[#This Row],[Date]])</f>
        <v>9</v>
      </c>
      <c r="V230" t="str">
        <f>"Q"&amp;ROUNDUP(MONTH(tblTransactions[[#This Row],[Date]])/3,0)</f>
        <v>Q3</v>
      </c>
    </row>
    <row r="231" spans="1:22" x14ac:dyDescent="0.25">
      <c r="A231" t="s">
        <v>309</v>
      </c>
      <c r="B231" s="2">
        <v>46285</v>
      </c>
      <c r="C231">
        <v>2026</v>
      </c>
      <c r="D231" t="s">
        <v>23</v>
      </c>
      <c r="E231" t="s">
        <v>554</v>
      </c>
      <c r="F231" t="s">
        <v>24</v>
      </c>
      <c r="G231" t="s">
        <v>62</v>
      </c>
      <c r="H231" t="s">
        <v>63</v>
      </c>
      <c r="I231" t="s">
        <v>56</v>
      </c>
      <c r="J231" t="s">
        <v>78</v>
      </c>
      <c r="K231" t="s">
        <v>63</v>
      </c>
      <c r="L231" s="3">
        <v>1194400</v>
      </c>
      <c r="M231" s="3">
        <v>115100</v>
      </c>
      <c r="N231" t="s">
        <v>51</v>
      </c>
      <c r="O231" t="s">
        <v>30</v>
      </c>
      <c r="P231" t="s">
        <v>31</v>
      </c>
      <c r="Q231" t="s">
        <v>33</v>
      </c>
      <c r="R231" t="s">
        <v>32</v>
      </c>
      <c r="S231" s="3">
        <v>-21576900</v>
      </c>
      <c r="T231" t="str">
        <f>TEXT(tblTransactions[[#This Row],[Date]],"mmm")</f>
        <v>Sep</v>
      </c>
      <c r="U231">
        <f>MONTH(tblTransactions[[#This Row],[Date]])</f>
        <v>9</v>
      </c>
      <c r="V231" t="str">
        <f>"Q"&amp;ROUNDUP(MONTH(tblTransactions[[#This Row],[Date]])/3,0)</f>
        <v>Q3</v>
      </c>
    </row>
    <row r="232" spans="1:22" x14ac:dyDescent="0.25">
      <c r="A232" t="s">
        <v>310</v>
      </c>
      <c r="B232" s="2">
        <v>46286</v>
      </c>
      <c r="C232">
        <v>2026</v>
      </c>
      <c r="D232" t="s">
        <v>23</v>
      </c>
      <c r="E232" t="s">
        <v>556</v>
      </c>
      <c r="F232" t="s">
        <v>24</v>
      </c>
      <c r="G232" t="s">
        <v>54</v>
      </c>
      <c r="H232" t="s">
        <v>55</v>
      </c>
      <c r="I232" t="s">
        <v>27</v>
      </c>
      <c r="J232" t="s">
        <v>38</v>
      </c>
      <c r="K232" t="s">
        <v>55</v>
      </c>
      <c r="L232" s="3">
        <v>1478200</v>
      </c>
      <c r="M232" s="3">
        <v>301900</v>
      </c>
      <c r="N232" t="s">
        <v>39</v>
      </c>
      <c r="O232" t="s">
        <v>40</v>
      </c>
      <c r="P232" t="s">
        <v>31</v>
      </c>
      <c r="Q232" t="s">
        <v>33</v>
      </c>
      <c r="R232" t="s">
        <v>33</v>
      </c>
      <c r="S232" s="3">
        <v>-23055100</v>
      </c>
      <c r="T232" t="str">
        <f>TEXT(tblTransactions[[#This Row],[Date]],"mmm")</f>
        <v>Sep</v>
      </c>
      <c r="U232">
        <f>MONTH(tblTransactions[[#This Row],[Date]])</f>
        <v>9</v>
      </c>
      <c r="V232" t="str">
        <f>"Q"&amp;ROUNDUP(MONTH(tblTransactions[[#This Row],[Date]])/3,0)</f>
        <v>Q3</v>
      </c>
    </row>
    <row r="233" spans="1:22" x14ac:dyDescent="0.25">
      <c r="A233" t="s">
        <v>311</v>
      </c>
      <c r="B233" s="2">
        <v>46287</v>
      </c>
      <c r="C233">
        <v>2026</v>
      </c>
      <c r="D233" t="s">
        <v>68</v>
      </c>
      <c r="E233" t="s">
        <v>556</v>
      </c>
      <c r="F233" t="s">
        <v>24</v>
      </c>
      <c r="G233" t="s">
        <v>70</v>
      </c>
      <c r="H233" t="s">
        <v>71</v>
      </c>
      <c r="I233" t="s">
        <v>45</v>
      </c>
      <c r="J233" t="s">
        <v>57</v>
      </c>
      <c r="K233" t="s">
        <v>71</v>
      </c>
      <c r="L233" s="3">
        <v>1540500</v>
      </c>
      <c r="M233" s="3">
        <v>932500</v>
      </c>
      <c r="N233" t="s">
        <v>29</v>
      </c>
      <c r="O233" t="s">
        <v>76</v>
      </c>
      <c r="P233" t="s">
        <v>31</v>
      </c>
      <c r="Q233" t="s">
        <v>33</v>
      </c>
      <c r="R233" t="s">
        <v>32</v>
      </c>
      <c r="S233" s="3">
        <v>-24595600</v>
      </c>
      <c r="T233" t="str">
        <f>TEXT(tblTransactions[[#This Row],[Date]],"mmm")</f>
        <v>Sep</v>
      </c>
      <c r="U233">
        <f>MONTH(tblTransactions[[#This Row],[Date]])</f>
        <v>9</v>
      </c>
      <c r="V233" t="str">
        <f>"Q"&amp;ROUNDUP(MONTH(tblTransactions[[#This Row],[Date]])/3,0)</f>
        <v>Q3</v>
      </c>
    </row>
    <row r="234" spans="1:22" x14ac:dyDescent="0.25">
      <c r="A234" t="s">
        <v>312</v>
      </c>
      <c r="B234" s="2">
        <v>46289</v>
      </c>
      <c r="C234">
        <v>2026</v>
      </c>
      <c r="D234" t="s">
        <v>23</v>
      </c>
      <c r="E234" t="s">
        <v>554</v>
      </c>
      <c r="F234" t="s">
        <v>24</v>
      </c>
      <c r="G234" t="s">
        <v>107</v>
      </c>
      <c r="H234" t="s">
        <v>108</v>
      </c>
      <c r="I234" t="s">
        <v>50</v>
      </c>
      <c r="J234" t="s">
        <v>87</v>
      </c>
      <c r="K234" t="s">
        <v>108</v>
      </c>
      <c r="L234" s="3">
        <v>1972600</v>
      </c>
      <c r="M234" s="3">
        <v>610300</v>
      </c>
      <c r="N234" t="s">
        <v>58</v>
      </c>
      <c r="O234" t="s">
        <v>109</v>
      </c>
      <c r="P234" t="s">
        <v>31</v>
      </c>
      <c r="Q234" t="s">
        <v>33</v>
      </c>
      <c r="R234" t="s">
        <v>33</v>
      </c>
      <c r="S234" s="3">
        <v>-26568200</v>
      </c>
      <c r="T234" t="str">
        <f>TEXT(tblTransactions[[#This Row],[Date]],"mmm")</f>
        <v>Sep</v>
      </c>
      <c r="U234">
        <f>MONTH(tblTransactions[[#This Row],[Date]])</f>
        <v>9</v>
      </c>
      <c r="V234" t="str">
        <f>"Q"&amp;ROUNDUP(MONTH(tblTransactions[[#This Row],[Date]])/3,0)</f>
        <v>Q3</v>
      </c>
    </row>
    <row r="235" spans="1:22" x14ac:dyDescent="0.25">
      <c r="A235" t="s">
        <v>313</v>
      </c>
      <c r="B235" s="2">
        <v>46290</v>
      </c>
      <c r="C235">
        <v>2026</v>
      </c>
      <c r="D235" t="s">
        <v>68</v>
      </c>
      <c r="E235" t="s">
        <v>554</v>
      </c>
      <c r="F235" t="s">
        <v>24</v>
      </c>
      <c r="G235" t="s">
        <v>107</v>
      </c>
      <c r="H235" t="s">
        <v>108</v>
      </c>
      <c r="I235" t="s">
        <v>27</v>
      </c>
      <c r="J235" t="s">
        <v>92</v>
      </c>
      <c r="K235" t="s">
        <v>108</v>
      </c>
      <c r="L235" s="3">
        <v>728200</v>
      </c>
      <c r="M235" s="3">
        <v>1634500</v>
      </c>
      <c r="N235" t="s">
        <v>58</v>
      </c>
      <c r="O235" t="s">
        <v>30</v>
      </c>
      <c r="P235" t="s">
        <v>31</v>
      </c>
      <c r="Q235" t="s">
        <v>33</v>
      </c>
      <c r="R235" t="s">
        <v>33</v>
      </c>
      <c r="S235" s="3">
        <v>-27296400</v>
      </c>
      <c r="T235" t="str">
        <f>TEXT(tblTransactions[[#This Row],[Date]],"mmm")</f>
        <v>Sep</v>
      </c>
      <c r="U235">
        <f>MONTH(tblTransactions[[#This Row],[Date]])</f>
        <v>9</v>
      </c>
      <c r="V235" t="str">
        <f>"Q"&amp;ROUNDUP(MONTH(tblTransactions[[#This Row],[Date]])/3,0)</f>
        <v>Q3</v>
      </c>
    </row>
    <row r="236" spans="1:22" x14ac:dyDescent="0.25">
      <c r="A236" t="s">
        <v>314</v>
      </c>
      <c r="B236" s="2">
        <v>46291</v>
      </c>
      <c r="C236">
        <v>2026</v>
      </c>
      <c r="D236" t="s">
        <v>23</v>
      </c>
      <c r="E236" t="s">
        <v>554</v>
      </c>
      <c r="F236" t="s">
        <v>35</v>
      </c>
      <c r="G236" t="s">
        <v>49</v>
      </c>
      <c r="H236" t="s">
        <v>49</v>
      </c>
      <c r="I236" t="s">
        <v>56</v>
      </c>
      <c r="J236" t="s">
        <v>115</v>
      </c>
      <c r="K236" t="s">
        <v>49</v>
      </c>
      <c r="L236" s="3">
        <v>338700</v>
      </c>
      <c r="M236" s="3">
        <v>0</v>
      </c>
      <c r="N236" t="s">
        <v>51</v>
      </c>
      <c r="O236" t="s">
        <v>52</v>
      </c>
      <c r="P236" t="s">
        <v>31</v>
      </c>
      <c r="Q236" t="s">
        <v>32</v>
      </c>
      <c r="R236" t="s">
        <v>33</v>
      </c>
      <c r="S236" s="3">
        <v>-26957700</v>
      </c>
      <c r="T236" t="str">
        <f>TEXT(tblTransactions[[#This Row],[Date]],"mmm")</f>
        <v>Sep</v>
      </c>
      <c r="U236">
        <f>MONTH(tblTransactions[[#This Row],[Date]])</f>
        <v>9</v>
      </c>
      <c r="V236" t="str">
        <f>"Q"&amp;ROUNDUP(MONTH(tblTransactions[[#This Row],[Date]])/3,0)</f>
        <v>Q3</v>
      </c>
    </row>
    <row r="237" spans="1:22" x14ac:dyDescent="0.25">
      <c r="A237" t="s">
        <v>315</v>
      </c>
      <c r="B237" s="2">
        <v>46292</v>
      </c>
      <c r="C237">
        <v>2026</v>
      </c>
      <c r="D237" t="s">
        <v>68</v>
      </c>
      <c r="E237" t="s">
        <v>554</v>
      </c>
      <c r="F237" t="s">
        <v>24</v>
      </c>
      <c r="G237" t="s">
        <v>74</v>
      </c>
      <c r="H237" t="s">
        <v>75</v>
      </c>
      <c r="I237" t="s">
        <v>27</v>
      </c>
      <c r="J237" t="s">
        <v>64</v>
      </c>
      <c r="K237" t="s">
        <v>75</v>
      </c>
      <c r="L237" s="3">
        <v>496900</v>
      </c>
      <c r="M237" s="3">
        <v>241800</v>
      </c>
      <c r="N237" t="s">
        <v>58</v>
      </c>
      <c r="O237" t="s">
        <v>52</v>
      </c>
      <c r="P237" t="s">
        <v>31</v>
      </c>
      <c r="Q237" t="s">
        <v>33</v>
      </c>
      <c r="R237" t="s">
        <v>33</v>
      </c>
      <c r="S237" s="3">
        <v>-27454600</v>
      </c>
      <c r="T237" t="str">
        <f>TEXT(tblTransactions[[#This Row],[Date]],"mmm")</f>
        <v>Sep</v>
      </c>
      <c r="U237">
        <f>MONTH(tblTransactions[[#This Row],[Date]])</f>
        <v>9</v>
      </c>
      <c r="V237" t="str">
        <f>"Q"&amp;ROUNDUP(MONTH(tblTransactions[[#This Row],[Date]])/3,0)</f>
        <v>Q3</v>
      </c>
    </row>
    <row r="238" spans="1:22" x14ac:dyDescent="0.25">
      <c r="A238" t="s">
        <v>316</v>
      </c>
      <c r="B238" s="2">
        <v>46293</v>
      </c>
      <c r="C238">
        <v>2026</v>
      </c>
      <c r="D238" t="s">
        <v>68</v>
      </c>
      <c r="E238" t="s">
        <v>552</v>
      </c>
      <c r="F238" t="s">
        <v>24</v>
      </c>
      <c r="G238" t="s">
        <v>70</v>
      </c>
      <c r="H238" t="s">
        <v>71</v>
      </c>
      <c r="I238" t="s">
        <v>42</v>
      </c>
      <c r="J238" t="s">
        <v>28</v>
      </c>
      <c r="K238" t="s">
        <v>71</v>
      </c>
      <c r="L238" s="3">
        <v>1420300</v>
      </c>
      <c r="M238" s="3">
        <v>420000</v>
      </c>
      <c r="N238" t="s">
        <v>29</v>
      </c>
      <c r="O238" t="s">
        <v>52</v>
      </c>
      <c r="P238" t="s">
        <v>31</v>
      </c>
      <c r="Q238" t="s">
        <v>33</v>
      </c>
      <c r="R238" t="s">
        <v>33</v>
      </c>
      <c r="S238" s="3">
        <v>-28874900</v>
      </c>
      <c r="T238" t="str">
        <f>TEXT(tblTransactions[[#This Row],[Date]],"mmm")</f>
        <v>Sep</v>
      </c>
      <c r="U238">
        <f>MONTH(tblTransactions[[#This Row],[Date]])</f>
        <v>9</v>
      </c>
      <c r="V238" t="str">
        <f>"Q"&amp;ROUNDUP(MONTH(tblTransactions[[#This Row],[Date]])/3,0)</f>
        <v>Q3</v>
      </c>
    </row>
    <row r="239" spans="1:22" x14ac:dyDescent="0.25">
      <c r="A239" t="s">
        <v>317</v>
      </c>
      <c r="B239" s="2">
        <v>46294</v>
      </c>
      <c r="C239">
        <v>2026</v>
      </c>
      <c r="D239" t="s">
        <v>42</v>
      </c>
      <c r="E239" t="s">
        <v>556</v>
      </c>
      <c r="F239" t="s">
        <v>24</v>
      </c>
      <c r="G239" t="s">
        <v>70</v>
      </c>
      <c r="H239" t="s">
        <v>71</v>
      </c>
      <c r="I239" t="s">
        <v>56</v>
      </c>
      <c r="J239" t="s">
        <v>115</v>
      </c>
      <c r="K239" t="s">
        <v>71</v>
      </c>
      <c r="L239" s="3">
        <v>1593100</v>
      </c>
      <c r="M239" s="3">
        <v>815500</v>
      </c>
      <c r="N239" t="s">
        <v>39</v>
      </c>
      <c r="O239" t="s">
        <v>66</v>
      </c>
      <c r="P239" t="s">
        <v>31</v>
      </c>
      <c r="Q239" t="s">
        <v>33</v>
      </c>
      <c r="R239" t="s">
        <v>32</v>
      </c>
      <c r="S239" s="3">
        <v>-30468000</v>
      </c>
      <c r="T239" t="str">
        <f>TEXT(tblTransactions[[#This Row],[Date]],"mmm")</f>
        <v>Sep</v>
      </c>
      <c r="U239">
        <f>MONTH(tblTransactions[[#This Row],[Date]])</f>
        <v>9</v>
      </c>
      <c r="V239" t="str">
        <f>"Q"&amp;ROUNDUP(MONTH(tblTransactions[[#This Row],[Date]])/3,0)</f>
        <v>Q3</v>
      </c>
    </row>
    <row r="240" spans="1:22" x14ac:dyDescent="0.25">
      <c r="A240" t="s">
        <v>318</v>
      </c>
      <c r="B240" s="2">
        <v>46295</v>
      </c>
      <c r="C240">
        <v>2026</v>
      </c>
      <c r="D240" t="s">
        <v>68</v>
      </c>
      <c r="E240" t="s">
        <v>553</v>
      </c>
      <c r="F240" t="s">
        <v>24</v>
      </c>
      <c r="G240" t="s">
        <v>107</v>
      </c>
      <c r="H240" t="s">
        <v>108</v>
      </c>
      <c r="I240" t="s">
        <v>42</v>
      </c>
      <c r="J240" t="s">
        <v>64</v>
      </c>
      <c r="K240" t="s">
        <v>108</v>
      </c>
      <c r="L240" s="3">
        <v>926600</v>
      </c>
      <c r="M240" s="3">
        <v>1267900</v>
      </c>
      <c r="N240" t="s">
        <v>29</v>
      </c>
      <c r="O240" t="s">
        <v>98</v>
      </c>
      <c r="P240" t="s">
        <v>31</v>
      </c>
      <c r="Q240" t="s">
        <v>33</v>
      </c>
      <c r="R240" t="s">
        <v>33</v>
      </c>
      <c r="S240" s="3">
        <v>-31394600</v>
      </c>
      <c r="T240" t="str">
        <f>TEXT(tblTransactions[[#This Row],[Date]],"mmm")</f>
        <v>Sep</v>
      </c>
      <c r="U240">
        <f>MONTH(tblTransactions[[#This Row],[Date]])</f>
        <v>9</v>
      </c>
      <c r="V240" t="str">
        <f>"Q"&amp;ROUNDUP(MONTH(tblTransactions[[#This Row],[Date]])/3,0)</f>
        <v>Q3</v>
      </c>
    </row>
    <row r="241" spans="1:22" x14ac:dyDescent="0.25">
      <c r="A241" t="s">
        <v>319</v>
      </c>
      <c r="B241" s="2">
        <v>46296</v>
      </c>
      <c r="C241">
        <v>2026</v>
      </c>
      <c r="D241" t="s">
        <v>23</v>
      </c>
      <c r="E241" t="s">
        <v>556</v>
      </c>
      <c r="F241" t="s">
        <v>24</v>
      </c>
      <c r="G241" t="s">
        <v>101</v>
      </c>
      <c r="H241" t="s">
        <v>102</v>
      </c>
      <c r="I241" t="s">
        <v>56</v>
      </c>
      <c r="J241" t="s">
        <v>78</v>
      </c>
      <c r="K241" t="s">
        <v>102</v>
      </c>
      <c r="L241" s="3">
        <v>895600</v>
      </c>
      <c r="M241" s="3">
        <v>1375100</v>
      </c>
      <c r="N241" t="s">
        <v>58</v>
      </c>
      <c r="O241" t="s">
        <v>60</v>
      </c>
      <c r="P241" t="s">
        <v>31</v>
      </c>
      <c r="Q241" t="s">
        <v>33</v>
      </c>
      <c r="R241" t="s">
        <v>32</v>
      </c>
      <c r="S241" s="3">
        <v>-32290200</v>
      </c>
      <c r="T241" t="str">
        <f>TEXT(tblTransactions[[#This Row],[Date]],"mmm")</f>
        <v>Oct</v>
      </c>
      <c r="U241">
        <f>MONTH(tblTransactions[[#This Row],[Date]])</f>
        <v>10</v>
      </c>
      <c r="V241" t="str">
        <f>"Q"&amp;ROUNDUP(MONTH(tblTransactions[[#This Row],[Date]])/3,0)</f>
        <v>Q4</v>
      </c>
    </row>
    <row r="242" spans="1:22" x14ac:dyDescent="0.25">
      <c r="A242" t="s">
        <v>320</v>
      </c>
      <c r="B242" s="2">
        <v>46297</v>
      </c>
      <c r="C242">
        <v>2026</v>
      </c>
      <c r="D242" t="s">
        <v>23</v>
      </c>
      <c r="E242" t="s">
        <v>555</v>
      </c>
      <c r="F242" t="s">
        <v>24</v>
      </c>
      <c r="G242" t="s">
        <v>70</v>
      </c>
      <c r="H242" t="s">
        <v>71</v>
      </c>
      <c r="I242" t="s">
        <v>56</v>
      </c>
      <c r="J242" t="s">
        <v>78</v>
      </c>
      <c r="K242" t="s">
        <v>71</v>
      </c>
      <c r="L242" s="3">
        <v>1662000</v>
      </c>
      <c r="M242" s="3">
        <v>1689100</v>
      </c>
      <c r="N242" t="s">
        <v>51</v>
      </c>
      <c r="O242" t="s">
        <v>76</v>
      </c>
      <c r="P242" t="s">
        <v>31</v>
      </c>
      <c r="Q242" t="s">
        <v>33</v>
      </c>
      <c r="R242" t="s">
        <v>33</v>
      </c>
      <c r="S242" s="3">
        <v>-33952200</v>
      </c>
      <c r="T242" t="str">
        <f>TEXT(tblTransactions[[#This Row],[Date]],"mmm")</f>
        <v>Oct</v>
      </c>
      <c r="U242">
        <f>MONTH(tblTransactions[[#This Row],[Date]])</f>
        <v>10</v>
      </c>
      <c r="V242" t="str">
        <f>"Q"&amp;ROUNDUP(MONTH(tblTransactions[[#This Row],[Date]])/3,0)</f>
        <v>Q4</v>
      </c>
    </row>
    <row r="243" spans="1:22" x14ac:dyDescent="0.25">
      <c r="A243" t="s">
        <v>321</v>
      </c>
      <c r="B243" s="2">
        <v>46298</v>
      </c>
      <c r="C243">
        <v>2026</v>
      </c>
      <c r="D243" t="s">
        <v>42</v>
      </c>
      <c r="E243" t="s">
        <v>552</v>
      </c>
      <c r="F243" t="s">
        <v>24</v>
      </c>
      <c r="G243" t="s">
        <v>70</v>
      </c>
      <c r="H243" t="s">
        <v>71</v>
      </c>
      <c r="I243" t="s">
        <v>37</v>
      </c>
      <c r="J243" t="s">
        <v>28</v>
      </c>
      <c r="K243" t="s">
        <v>71</v>
      </c>
      <c r="L243" s="3">
        <v>150000</v>
      </c>
      <c r="M243" s="3">
        <v>1212200</v>
      </c>
      <c r="N243" t="s">
        <v>29</v>
      </c>
      <c r="O243" t="s">
        <v>60</v>
      </c>
      <c r="P243" t="s">
        <v>31</v>
      </c>
      <c r="Q243" t="s">
        <v>33</v>
      </c>
      <c r="R243" t="s">
        <v>33</v>
      </c>
      <c r="S243" s="3">
        <v>-34102200</v>
      </c>
      <c r="T243" t="str">
        <f>TEXT(tblTransactions[[#This Row],[Date]],"mmm")</f>
        <v>Oct</v>
      </c>
      <c r="U243">
        <f>MONTH(tblTransactions[[#This Row],[Date]])</f>
        <v>10</v>
      </c>
      <c r="V243" t="str">
        <f>"Q"&amp;ROUNDUP(MONTH(tblTransactions[[#This Row],[Date]])/3,0)</f>
        <v>Q4</v>
      </c>
    </row>
    <row r="244" spans="1:22" x14ac:dyDescent="0.25">
      <c r="A244" t="s">
        <v>322</v>
      </c>
      <c r="B244" s="2">
        <v>46299</v>
      </c>
      <c r="C244">
        <v>2026</v>
      </c>
      <c r="D244" t="s">
        <v>23</v>
      </c>
      <c r="E244" t="s">
        <v>555</v>
      </c>
      <c r="F244" t="s">
        <v>24</v>
      </c>
      <c r="G244" t="s">
        <v>101</v>
      </c>
      <c r="H244" t="s">
        <v>102</v>
      </c>
      <c r="I244" t="s">
        <v>56</v>
      </c>
      <c r="J244" t="s">
        <v>64</v>
      </c>
      <c r="K244" t="s">
        <v>102</v>
      </c>
      <c r="L244" s="3">
        <v>1862600</v>
      </c>
      <c r="M244" s="3">
        <v>1455300</v>
      </c>
      <c r="N244" t="s">
        <v>29</v>
      </c>
      <c r="O244" t="s">
        <v>47</v>
      </c>
      <c r="P244" t="s">
        <v>31</v>
      </c>
      <c r="Q244" t="s">
        <v>32</v>
      </c>
      <c r="R244" t="s">
        <v>32</v>
      </c>
      <c r="S244" s="3">
        <v>-35964800</v>
      </c>
      <c r="T244" t="str">
        <f>TEXT(tblTransactions[[#This Row],[Date]],"mmm")</f>
        <v>Oct</v>
      </c>
      <c r="U244">
        <f>MONTH(tblTransactions[[#This Row],[Date]])</f>
        <v>10</v>
      </c>
      <c r="V244" t="str">
        <f>"Q"&amp;ROUNDUP(MONTH(tblTransactions[[#This Row],[Date]])/3,0)</f>
        <v>Q4</v>
      </c>
    </row>
    <row r="245" spans="1:22" x14ac:dyDescent="0.25">
      <c r="A245" t="s">
        <v>323</v>
      </c>
      <c r="B245" s="2">
        <v>46300</v>
      </c>
      <c r="C245">
        <v>2026</v>
      </c>
      <c r="D245" t="s">
        <v>42</v>
      </c>
      <c r="E245" t="s">
        <v>552</v>
      </c>
      <c r="F245" t="s">
        <v>24</v>
      </c>
      <c r="G245" t="s">
        <v>25</v>
      </c>
      <c r="H245" t="s">
        <v>26</v>
      </c>
      <c r="I245" t="s">
        <v>37</v>
      </c>
      <c r="J245" t="s">
        <v>28</v>
      </c>
      <c r="K245" t="s">
        <v>26</v>
      </c>
      <c r="L245" s="3">
        <v>1224500</v>
      </c>
      <c r="M245" s="3">
        <v>221900</v>
      </c>
      <c r="N245" t="s">
        <v>51</v>
      </c>
      <c r="O245" t="s">
        <v>98</v>
      </c>
      <c r="P245" t="s">
        <v>31</v>
      </c>
      <c r="Q245" t="s">
        <v>32</v>
      </c>
      <c r="R245" t="s">
        <v>32</v>
      </c>
      <c r="S245" s="3">
        <v>-37189300</v>
      </c>
      <c r="T245" t="str">
        <f>TEXT(tblTransactions[[#This Row],[Date]],"mmm")</f>
        <v>Oct</v>
      </c>
      <c r="U245">
        <f>MONTH(tblTransactions[[#This Row],[Date]])</f>
        <v>10</v>
      </c>
      <c r="V245" t="str">
        <f>"Q"&amp;ROUNDUP(MONTH(tblTransactions[[#This Row],[Date]])/3,0)</f>
        <v>Q4</v>
      </c>
    </row>
    <row r="246" spans="1:22" x14ac:dyDescent="0.25">
      <c r="A246" t="s">
        <v>324</v>
      </c>
      <c r="B246" s="2">
        <v>46301</v>
      </c>
      <c r="C246">
        <v>2026</v>
      </c>
      <c r="D246" t="s">
        <v>68</v>
      </c>
      <c r="E246" t="s">
        <v>554</v>
      </c>
      <c r="F246" t="s">
        <v>24</v>
      </c>
      <c r="G246" t="s">
        <v>107</v>
      </c>
      <c r="H246" t="s">
        <v>108</v>
      </c>
      <c r="I246" t="s">
        <v>37</v>
      </c>
      <c r="J246" t="s">
        <v>64</v>
      </c>
      <c r="K246" t="s">
        <v>108</v>
      </c>
      <c r="L246" s="3">
        <v>1299700</v>
      </c>
      <c r="M246" s="3">
        <v>1380200</v>
      </c>
      <c r="N246" t="s">
        <v>58</v>
      </c>
      <c r="O246" t="s">
        <v>52</v>
      </c>
      <c r="P246" t="s">
        <v>31</v>
      </c>
      <c r="Q246" t="s">
        <v>32</v>
      </c>
      <c r="R246" t="s">
        <v>33</v>
      </c>
      <c r="S246" s="3">
        <v>-38489000</v>
      </c>
      <c r="T246" t="str">
        <f>TEXT(tblTransactions[[#This Row],[Date]],"mmm")</f>
        <v>Oct</v>
      </c>
      <c r="U246">
        <f>MONTH(tblTransactions[[#This Row],[Date]])</f>
        <v>10</v>
      </c>
      <c r="V246" t="str">
        <f>"Q"&amp;ROUNDUP(MONTH(tblTransactions[[#This Row],[Date]])/3,0)</f>
        <v>Q4</v>
      </c>
    </row>
    <row r="247" spans="1:22" x14ac:dyDescent="0.25">
      <c r="A247" t="s">
        <v>325</v>
      </c>
      <c r="B247" s="2">
        <v>46303</v>
      </c>
      <c r="C247">
        <v>2026</v>
      </c>
      <c r="D247" t="s">
        <v>42</v>
      </c>
      <c r="E247" t="s">
        <v>555</v>
      </c>
      <c r="F247" t="s">
        <v>24</v>
      </c>
      <c r="G247" t="s">
        <v>43</v>
      </c>
      <c r="H247" t="s">
        <v>44</v>
      </c>
      <c r="I247" t="s">
        <v>50</v>
      </c>
      <c r="J247" t="s">
        <v>28</v>
      </c>
      <c r="K247" t="s">
        <v>44</v>
      </c>
      <c r="L247" s="3">
        <v>723600</v>
      </c>
      <c r="M247" s="3">
        <v>1384100</v>
      </c>
      <c r="N247" t="s">
        <v>51</v>
      </c>
      <c r="O247" t="s">
        <v>30</v>
      </c>
      <c r="P247" t="s">
        <v>31</v>
      </c>
      <c r="Q247" t="s">
        <v>32</v>
      </c>
      <c r="R247" t="s">
        <v>33</v>
      </c>
      <c r="S247" s="3">
        <v>-39212600</v>
      </c>
      <c r="T247" t="str">
        <f>TEXT(tblTransactions[[#This Row],[Date]],"mmm")</f>
        <v>Oct</v>
      </c>
      <c r="U247">
        <f>MONTH(tblTransactions[[#This Row],[Date]])</f>
        <v>10</v>
      </c>
      <c r="V247" t="str">
        <f>"Q"&amp;ROUNDUP(MONTH(tblTransactions[[#This Row],[Date]])/3,0)</f>
        <v>Q4</v>
      </c>
    </row>
    <row r="248" spans="1:22" x14ac:dyDescent="0.25">
      <c r="A248" t="s">
        <v>326</v>
      </c>
      <c r="B248" s="2">
        <v>46304</v>
      </c>
      <c r="C248">
        <v>2026</v>
      </c>
      <c r="D248" t="s">
        <v>23</v>
      </c>
      <c r="E248" t="s">
        <v>553</v>
      </c>
      <c r="F248" t="s">
        <v>35</v>
      </c>
      <c r="G248" t="s">
        <v>49</v>
      </c>
      <c r="H248" t="s">
        <v>49</v>
      </c>
      <c r="I248" t="s">
        <v>37</v>
      </c>
      <c r="J248" t="s">
        <v>92</v>
      </c>
      <c r="K248" t="s">
        <v>49</v>
      </c>
      <c r="L248" s="3">
        <v>846800</v>
      </c>
      <c r="M248" s="3">
        <v>0</v>
      </c>
      <c r="N248" t="s">
        <v>51</v>
      </c>
      <c r="O248" t="s">
        <v>98</v>
      </c>
      <c r="P248" t="s">
        <v>31</v>
      </c>
      <c r="Q248" t="s">
        <v>33</v>
      </c>
      <c r="R248" t="s">
        <v>32</v>
      </c>
      <c r="S248" s="3">
        <v>-38365800</v>
      </c>
      <c r="T248" t="str">
        <f>TEXT(tblTransactions[[#This Row],[Date]],"mmm")</f>
        <v>Oct</v>
      </c>
      <c r="U248">
        <f>MONTH(tblTransactions[[#This Row],[Date]])</f>
        <v>10</v>
      </c>
      <c r="V248" t="str">
        <f>"Q"&amp;ROUNDUP(MONTH(tblTransactions[[#This Row],[Date]])/3,0)</f>
        <v>Q4</v>
      </c>
    </row>
    <row r="249" spans="1:22" x14ac:dyDescent="0.25">
      <c r="A249" t="s">
        <v>327</v>
      </c>
      <c r="B249" s="2">
        <v>46305</v>
      </c>
      <c r="C249">
        <v>2026</v>
      </c>
      <c r="D249" t="s">
        <v>23</v>
      </c>
      <c r="E249" t="s">
        <v>557</v>
      </c>
      <c r="F249" t="s">
        <v>35</v>
      </c>
      <c r="G249" t="s">
        <v>80</v>
      </c>
      <c r="H249" t="s">
        <v>81</v>
      </c>
      <c r="I249" t="s">
        <v>56</v>
      </c>
      <c r="J249" t="s">
        <v>57</v>
      </c>
      <c r="K249" t="s">
        <v>81</v>
      </c>
      <c r="L249" s="3">
        <v>3494900</v>
      </c>
      <c r="M249" s="3">
        <v>0</v>
      </c>
      <c r="N249" t="s">
        <v>39</v>
      </c>
      <c r="O249" t="s">
        <v>66</v>
      </c>
      <c r="P249" t="s">
        <v>31</v>
      </c>
      <c r="Q249" t="s">
        <v>33</v>
      </c>
      <c r="R249" t="s">
        <v>33</v>
      </c>
      <c r="S249" s="3">
        <v>-34870900</v>
      </c>
      <c r="T249" t="str">
        <f>TEXT(tblTransactions[[#This Row],[Date]],"mmm")</f>
        <v>Oct</v>
      </c>
      <c r="U249">
        <f>MONTH(tblTransactions[[#This Row],[Date]])</f>
        <v>10</v>
      </c>
      <c r="V249" t="str">
        <f>"Q"&amp;ROUNDUP(MONTH(tblTransactions[[#This Row],[Date]])/3,0)</f>
        <v>Q4</v>
      </c>
    </row>
    <row r="250" spans="1:22" x14ac:dyDescent="0.25">
      <c r="A250" t="s">
        <v>328</v>
      </c>
      <c r="B250" s="2">
        <v>46306</v>
      </c>
      <c r="C250">
        <v>2026</v>
      </c>
      <c r="D250" t="s">
        <v>23</v>
      </c>
      <c r="E250" t="s">
        <v>556</v>
      </c>
      <c r="F250" t="s">
        <v>35</v>
      </c>
      <c r="G250" t="s">
        <v>36</v>
      </c>
      <c r="H250" t="s">
        <v>36</v>
      </c>
      <c r="I250" t="s">
        <v>50</v>
      </c>
      <c r="J250" t="s">
        <v>115</v>
      </c>
      <c r="K250" t="s">
        <v>36</v>
      </c>
      <c r="L250" s="3">
        <v>7444800</v>
      </c>
      <c r="M250" s="3">
        <v>0</v>
      </c>
      <c r="N250" t="s">
        <v>51</v>
      </c>
      <c r="O250" t="s">
        <v>30</v>
      </c>
      <c r="P250" t="s">
        <v>31</v>
      </c>
      <c r="Q250" t="s">
        <v>32</v>
      </c>
      <c r="R250" t="s">
        <v>32</v>
      </c>
      <c r="S250" s="3">
        <v>-27426100</v>
      </c>
      <c r="T250" t="str">
        <f>TEXT(tblTransactions[[#This Row],[Date]],"mmm")</f>
        <v>Oct</v>
      </c>
      <c r="U250">
        <f>MONTH(tblTransactions[[#This Row],[Date]])</f>
        <v>10</v>
      </c>
      <c r="V250" t="str">
        <f>"Q"&amp;ROUNDUP(MONTH(tblTransactions[[#This Row],[Date]])/3,0)</f>
        <v>Q4</v>
      </c>
    </row>
    <row r="251" spans="1:22" x14ac:dyDescent="0.25">
      <c r="A251" t="s">
        <v>329</v>
      </c>
      <c r="B251" s="2">
        <v>46307</v>
      </c>
      <c r="C251">
        <v>2026</v>
      </c>
      <c r="D251" t="s">
        <v>42</v>
      </c>
      <c r="E251" t="s">
        <v>553</v>
      </c>
      <c r="F251" t="s">
        <v>24</v>
      </c>
      <c r="G251" t="s">
        <v>25</v>
      </c>
      <c r="H251" t="s">
        <v>26</v>
      </c>
      <c r="I251" t="s">
        <v>50</v>
      </c>
      <c r="J251" t="s">
        <v>38</v>
      </c>
      <c r="K251" t="s">
        <v>26</v>
      </c>
      <c r="L251" s="3">
        <v>365000</v>
      </c>
      <c r="M251" s="3">
        <v>1234500</v>
      </c>
      <c r="N251" t="s">
        <v>51</v>
      </c>
      <c r="O251" t="s">
        <v>40</v>
      </c>
      <c r="P251" t="s">
        <v>31</v>
      </c>
      <c r="Q251" t="s">
        <v>33</v>
      </c>
      <c r="R251" t="s">
        <v>33</v>
      </c>
      <c r="S251" s="3">
        <v>-27791100</v>
      </c>
      <c r="T251" t="str">
        <f>TEXT(tblTransactions[[#This Row],[Date]],"mmm")</f>
        <v>Oct</v>
      </c>
      <c r="U251">
        <f>MONTH(tblTransactions[[#This Row],[Date]])</f>
        <v>10</v>
      </c>
      <c r="V251" t="str">
        <f>"Q"&amp;ROUNDUP(MONTH(tblTransactions[[#This Row],[Date]])/3,0)</f>
        <v>Q4</v>
      </c>
    </row>
    <row r="252" spans="1:22" x14ac:dyDescent="0.25">
      <c r="A252" t="s">
        <v>330</v>
      </c>
      <c r="B252" s="2">
        <v>46308</v>
      </c>
      <c r="C252">
        <v>2026</v>
      </c>
      <c r="D252" t="s">
        <v>42</v>
      </c>
      <c r="E252" t="s">
        <v>557</v>
      </c>
      <c r="F252" t="s">
        <v>35</v>
      </c>
      <c r="G252" t="s">
        <v>49</v>
      </c>
      <c r="H252" t="s">
        <v>49</v>
      </c>
      <c r="I252" t="s">
        <v>50</v>
      </c>
      <c r="J252" t="s">
        <v>46</v>
      </c>
      <c r="K252" t="s">
        <v>49</v>
      </c>
      <c r="L252" s="3">
        <v>4991900</v>
      </c>
      <c r="M252" s="3">
        <v>0</v>
      </c>
      <c r="N252" t="s">
        <v>29</v>
      </c>
      <c r="O252" t="s">
        <v>66</v>
      </c>
      <c r="P252" t="s">
        <v>31</v>
      </c>
      <c r="Q252" t="s">
        <v>33</v>
      </c>
      <c r="R252" t="s">
        <v>33</v>
      </c>
      <c r="S252" s="3">
        <v>-22799200</v>
      </c>
      <c r="T252" t="str">
        <f>TEXT(tblTransactions[[#This Row],[Date]],"mmm")</f>
        <v>Oct</v>
      </c>
      <c r="U252">
        <f>MONTH(tblTransactions[[#This Row],[Date]])</f>
        <v>10</v>
      </c>
      <c r="V252" t="str">
        <f>"Q"&amp;ROUNDUP(MONTH(tblTransactions[[#This Row],[Date]])/3,0)</f>
        <v>Q4</v>
      </c>
    </row>
    <row r="253" spans="1:22" x14ac:dyDescent="0.25">
      <c r="A253" t="s">
        <v>331</v>
      </c>
      <c r="B253" s="2">
        <v>46309</v>
      </c>
      <c r="C253">
        <v>2026</v>
      </c>
      <c r="D253" t="s">
        <v>23</v>
      </c>
      <c r="E253" t="s">
        <v>552</v>
      </c>
      <c r="F253" t="s">
        <v>35</v>
      </c>
      <c r="G253" t="s">
        <v>80</v>
      </c>
      <c r="H253" t="s">
        <v>81</v>
      </c>
      <c r="I253" t="s">
        <v>45</v>
      </c>
      <c r="J253" t="s">
        <v>92</v>
      </c>
      <c r="K253" t="s">
        <v>81</v>
      </c>
      <c r="L253" s="3">
        <v>5730400</v>
      </c>
      <c r="M253" s="3">
        <v>0</v>
      </c>
      <c r="N253" t="s">
        <v>58</v>
      </c>
      <c r="O253" t="s">
        <v>40</v>
      </c>
      <c r="P253" t="s">
        <v>31</v>
      </c>
      <c r="Q253" t="s">
        <v>33</v>
      </c>
      <c r="R253" t="s">
        <v>33</v>
      </c>
      <c r="S253" s="3">
        <v>-17068800</v>
      </c>
      <c r="T253" t="str">
        <f>TEXT(tblTransactions[[#This Row],[Date]],"mmm")</f>
        <v>Oct</v>
      </c>
      <c r="U253">
        <f>MONTH(tblTransactions[[#This Row],[Date]])</f>
        <v>10</v>
      </c>
      <c r="V253" t="str">
        <f>"Q"&amp;ROUNDUP(MONTH(tblTransactions[[#This Row],[Date]])/3,0)</f>
        <v>Q4</v>
      </c>
    </row>
    <row r="254" spans="1:22" x14ac:dyDescent="0.25">
      <c r="A254" t="s">
        <v>332</v>
      </c>
      <c r="B254" s="2">
        <v>46313</v>
      </c>
      <c r="C254">
        <v>2026</v>
      </c>
      <c r="D254" t="s">
        <v>68</v>
      </c>
      <c r="E254" t="s">
        <v>553</v>
      </c>
      <c r="F254" t="s">
        <v>35</v>
      </c>
      <c r="G254" t="s">
        <v>49</v>
      </c>
      <c r="H254" t="s">
        <v>49</v>
      </c>
      <c r="I254" t="s">
        <v>50</v>
      </c>
      <c r="J254" t="s">
        <v>115</v>
      </c>
      <c r="K254" t="s">
        <v>49</v>
      </c>
      <c r="L254" s="3">
        <v>6471400</v>
      </c>
      <c r="M254" s="3">
        <v>0</v>
      </c>
      <c r="N254" t="s">
        <v>58</v>
      </c>
      <c r="O254" t="s">
        <v>30</v>
      </c>
      <c r="P254" t="s">
        <v>31</v>
      </c>
      <c r="Q254" t="s">
        <v>32</v>
      </c>
      <c r="R254" t="s">
        <v>33</v>
      </c>
      <c r="S254" s="3">
        <v>-10597400</v>
      </c>
      <c r="T254" t="str">
        <f>TEXT(tblTransactions[[#This Row],[Date]],"mmm")</f>
        <v>Oct</v>
      </c>
      <c r="U254">
        <f>MONTH(tblTransactions[[#This Row],[Date]])</f>
        <v>10</v>
      </c>
      <c r="V254" t="str">
        <f>"Q"&amp;ROUNDUP(MONTH(tblTransactions[[#This Row],[Date]])/3,0)</f>
        <v>Q4</v>
      </c>
    </row>
    <row r="255" spans="1:22" x14ac:dyDescent="0.25">
      <c r="A255" t="s">
        <v>333</v>
      </c>
      <c r="B255" s="2">
        <v>46314</v>
      </c>
      <c r="C255">
        <v>2026</v>
      </c>
      <c r="D255" t="s">
        <v>42</v>
      </c>
      <c r="E255" t="s">
        <v>555</v>
      </c>
      <c r="F255" t="s">
        <v>24</v>
      </c>
      <c r="G255" t="s">
        <v>54</v>
      </c>
      <c r="H255" t="s">
        <v>55</v>
      </c>
      <c r="I255" t="s">
        <v>37</v>
      </c>
      <c r="J255" t="s">
        <v>57</v>
      </c>
      <c r="K255" t="s">
        <v>55</v>
      </c>
      <c r="L255" s="3">
        <v>1317200</v>
      </c>
      <c r="M255" s="3">
        <v>323900</v>
      </c>
      <c r="N255" t="s">
        <v>29</v>
      </c>
      <c r="O255" t="s">
        <v>52</v>
      </c>
      <c r="P255" t="s">
        <v>31</v>
      </c>
      <c r="Q255" t="s">
        <v>33</v>
      </c>
      <c r="R255" t="s">
        <v>33</v>
      </c>
      <c r="S255" s="3">
        <v>-11914600</v>
      </c>
      <c r="T255" t="str">
        <f>TEXT(tblTransactions[[#This Row],[Date]],"mmm")</f>
        <v>Oct</v>
      </c>
      <c r="U255">
        <f>MONTH(tblTransactions[[#This Row],[Date]])</f>
        <v>10</v>
      </c>
      <c r="V255" t="str">
        <f>"Q"&amp;ROUNDUP(MONTH(tblTransactions[[#This Row],[Date]])/3,0)</f>
        <v>Q4</v>
      </c>
    </row>
    <row r="256" spans="1:22" x14ac:dyDescent="0.25">
      <c r="A256" t="s">
        <v>334</v>
      </c>
      <c r="B256" s="2">
        <v>46315</v>
      </c>
      <c r="C256">
        <v>2026</v>
      </c>
      <c r="D256" t="s">
        <v>23</v>
      </c>
      <c r="E256" t="s">
        <v>557</v>
      </c>
      <c r="F256" t="s">
        <v>24</v>
      </c>
      <c r="G256" t="s">
        <v>62</v>
      </c>
      <c r="H256" t="s">
        <v>63</v>
      </c>
      <c r="I256" t="s">
        <v>56</v>
      </c>
      <c r="J256" t="s">
        <v>46</v>
      </c>
      <c r="K256" t="s">
        <v>63</v>
      </c>
      <c r="L256" s="3">
        <v>55500</v>
      </c>
      <c r="M256" s="3">
        <v>163200</v>
      </c>
      <c r="N256" t="s">
        <v>29</v>
      </c>
      <c r="O256" t="s">
        <v>60</v>
      </c>
      <c r="P256" t="s">
        <v>31</v>
      </c>
      <c r="Q256" t="s">
        <v>32</v>
      </c>
      <c r="R256" t="s">
        <v>33</v>
      </c>
      <c r="S256" s="3">
        <v>-11970100</v>
      </c>
      <c r="T256" t="str">
        <f>TEXT(tblTransactions[[#This Row],[Date]],"mmm")</f>
        <v>Oct</v>
      </c>
      <c r="U256">
        <f>MONTH(tblTransactions[[#This Row],[Date]])</f>
        <v>10</v>
      </c>
      <c r="V256" t="str">
        <f>"Q"&amp;ROUNDUP(MONTH(tblTransactions[[#This Row],[Date]])/3,0)</f>
        <v>Q4</v>
      </c>
    </row>
    <row r="257" spans="1:22" x14ac:dyDescent="0.25">
      <c r="A257" t="s">
        <v>335</v>
      </c>
      <c r="B257" s="2">
        <v>46316</v>
      </c>
      <c r="C257">
        <v>2026</v>
      </c>
      <c r="D257" t="s">
        <v>68</v>
      </c>
      <c r="E257" t="s">
        <v>556</v>
      </c>
      <c r="F257" t="s">
        <v>35</v>
      </c>
      <c r="G257" t="s">
        <v>80</v>
      </c>
      <c r="H257" t="s">
        <v>81</v>
      </c>
      <c r="I257" t="s">
        <v>50</v>
      </c>
      <c r="J257" t="s">
        <v>78</v>
      </c>
      <c r="K257" t="s">
        <v>81</v>
      </c>
      <c r="L257" s="3">
        <v>2723600</v>
      </c>
      <c r="M257" s="3">
        <v>0</v>
      </c>
      <c r="N257" t="s">
        <v>51</v>
      </c>
      <c r="O257" t="s">
        <v>76</v>
      </c>
      <c r="P257" t="s">
        <v>31</v>
      </c>
      <c r="Q257" t="s">
        <v>32</v>
      </c>
      <c r="R257" t="s">
        <v>32</v>
      </c>
      <c r="S257" s="3">
        <v>-9246500</v>
      </c>
      <c r="T257" t="str">
        <f>TEXT(tblTransactions[[#This Row],[Date]],"mmm")</f>
        <v>Oct</v>
      </c>
      <c r="U257">
        <f>MONTH(tblTransactions[[#This Row],[Date]])</f>
        <v>10</v>
      </c>
      <c r="V257" t="str">
        <f>"Q"&amp;ROUNDUP(MONTH(tblTransactions[[#This Row],[Date]])/3,0)</f>
        <v>Q4</v>
      </c>
    </row>
    <row r="258" spans="1:22" x14ac:dyDescent="0.25">
      <c r="A258" t="s">
        <v>336</v>
      </c>
      <c r="B258" s="2">
        <v>46317</v>
      </c>
      <c r="C258">
        <v>2026</v>
      </c>
      <c r="D258" t="s">
        <v>42</v>
      </c>
      <c r="E258" t="s">
        <v>557</v>
      </c>
      <c r="F258" t="s">
        <v>24</v>
      </c>
      <c r="G258" t="s">
        <v>107</v>
      </c>
      <c r="H258" t="s">
        <v>108</v>
      </c>
      <c r="I258" t="s">
        <v>27</v>
      </c>
      <c r="J258" t="s">
        <v>64</v>
      </c>
      <c r="K258" t="s">
        <v>108</v>
      </c>
      <c r="L258" s="3">
        <v>1243100</v>
      </c>
      <c r="M258" s="3">
        <v>1032700</v>
      </c>
      <c r="N258" t="s">
        <v>29</v>
      </c>
      <c r="O258" t="s">
        <v>98</v>
      </c>
      <c r="P258" t="s">
        <v>31</v>
      </c>
      <c r="Q258" t="s">
        <v>32</v>
      </c>
      <c r="R258" t="s">
        <v>33</v>
      </c>
      <c r="S258" s="3">
        <v>-10489600</v>
      </c>
      <c r="T258" t="str">
        <f>TEXT(tblTransactions[[#This Row],[Date]],"mmm")</f>
        <v>Oct</v>
      </c>
      <c r="U258">
        <f>MONTH(tblTransactions[[#This Row],[Date]])</f>
        <v>10</v>
      </c>
      <c r="V258" t="str">
        <f>"Q"&amp;ROUNDUP(MONTH(tblTransactions[[#This Row],[Date]])/3,0)</f>
        <v>Q4</v>
      </c>
    </row>
    <row r="259" spans="1:22" x14ac:dyDescent="0.25">
      <c r="A259" t="s">
        <v>337</v>
      </c>
      <c r="B259" s="2">
        <v>46318</v>
      </c>
      <c r="C259">
        <v>2026</v>
      </c>
      <c r="D259" t="s">
        <v>68</v>
      </c>
      <c r="E259" t="s">
        <v>552</v>
      </c>
      <c r="F259" t="s">
        <v>24</v>
      </c>
      <c r="G259" t="s">
        <v>62</v>
      </c>
      <c r="H259" t="s">
        <v>63</v>
      </c>
      <c r="I259" t="s">
        <v>37</v>
      </c>
      <c r="J259" t="s">
        <v>78</v>
      </c>
      <c r="K259" t="s">
        <v>63</v>
      </c>
      <c r="L259" s="3">
        <v>123000</v>
      </c>
      <c r="M259" s="3">
        <v>1323300</v>
      </c>
      <c r="N259" t="s">
        <v>39</v>
      </c>
      <c r="O259" t="s">
        <v>98</v>
      </c>
      <c r="P259" t="s">
        <v>31</v>
      </c>
      <c r="Q259" t="s">
        <v>33</v>
      </c>
      <c r="R259" t="s">
        <v>33</v>
      </c>
      <c r="S259" s="3">
        <v>-10612600</v>
      </c>
      <c r="T259" t="str">
        <f>TEXT(tblTransactions[[#This Row],[Date]],"mmm")</f>
        <v>Oct</v>
      </c>
      <c r="U259">
        <f>MONTH(tblTransactions[[#This Row],[Date]])</f>
        <v>10</v>
      </c>
      <c r="V259" t="str">
        <f>"Q"&amp;ROUNDUP(MONTH(tblTransactions[[#This Row],[Date]])/3,0)</f>
        <v>Q4</v>
      </c>
    </row>
    <row r="260" spans="1:22" x14ac:dyDescent="0.25">
      <c r="A260" t="s">
        <v>338</v>
      </c>
      <c r="B260" s="2">
        <v>46319</v>
      </c>
      <c r="C260">
        <v>2026</v>
      </c>
      <c r="D260" t="s">
        <v>68</v>
      </c>
      <c r="E260" t="s">
        <v>555</v>
      </c>
      <c r="F260" t="s">
        <v>24</v>
      </c>
      <c r="G260" t="s">
        <v>74</v>
      </c>
      <c r="H260" t="s">
        <v>75</v>
      </c>
      <c r="I260" t="s">
        <v>45</v>
      </c>
      <c r="J260" t="s">
        <v>64</v>
      </c>
      <c r="K260" t="s">
        <v>75</v>
      </c>
      <c r="L260" s="3">
        <v>988900</v>
      </c>
      <c r="M260" s="3">
        <v>828100</v>
      </c>
      <c r="N260" t="s">
        <v>29</v>
      </c>
      <c r="O260" t="s">
        <v>52</v>
      </c>
      <c r="P260" t="s">
        <v>31</v>
      </c>
      <c r="Q260" t="s">
        <v>32</v>
      </c>
      <c r="R260" t="s">
        <v>32</v>
      </c>
      <c r="S260" s="3">
        <v>-11601500</v>
      </c>
      <c r="T260" t="str">
        <f>TEXT(tblTransactions[[#This Row],[Date]],"mmm")</f>
        <v>Oct</v>
      </c>
      <c r="U260">
        <f>MONTH(tblTransactions[[#This Row],[Date]])</f>
        <v>10</v>
      </c>
      <c r="V260" t="str">
        <f>"Q"&amp;ROUNDUP(MONTH(tblTransactions[[#This Row],[Date]])/3,0)</f>
        <v>Q4</v>
      </c>
    </row>
    <row r="261" spans="1:22" x14ac:dyDescent="0.25">
      <c r="A261" t="s">
        <v>339</v>
      </c>
      <c r="B261" s="2">
        <v>46320</v>
      </c>
      <c r="C261">
        <v>2026</v>
      </c>
      <c r="D261" t="s">
        <v>68</v>
      </c>
      <c r="E261" t="s">
        <v>556</v>
      </c>
      <c r="F261" t="s">
        <v>24</v>
      </c>
      <c r="G261" t="s">
        <v>101</v>
      </c>
      <c r="H261" t="s">
        <v>102</v>
      </c>
      <c r="I261" t="s">
        <v>50</v>
      </c>
      <c r="J261" t="s">
        <v>64</v>
      </c>
      <c r="K261" t="s">
        <v>102</v>
      </c>
      <c r="L261" s="3">
        <v>906600</v>
      </c>
      <c r="M261" s="3">
        <v>958600</v>
      </c>
      <c r="N261" t="s">
        <v>51</v>
      </c>
      <c r="O261" t="s">
        <v>76</v>
      </c>
      <c r="P261" t="s">
        <v>31</v>
      </c>
      <c r="Q261" t="s">
        <v>33</v>
      </c>
      <c r="R261" t="s">
        <v>33</v>
      </c>
      <c r="S261" s="3">
        <v>-12508100</v>
      </c>
      <c r="T261" t="str">
        <f>TEXT(tblTransactions[[#This Row],[Date]],"mmm")</f>
        <v>Oct</v>
      </c>
      <c r="U261">
        <f>MONTH(tblTransactions[[#This Row],[Date]])</f>
        <v>10</v>
      </c>
      <c r="V261" t="str">
        <f>"Q"&amp;ROUNDUP(MONTH(tblTransactions[[#This Row],[Date]])/3,0)</f>
        <v>Q4</v>
      </c>
    </row>
    <row r="262" spans="1:22" x14ac:dyDescent="0.25">
      <c r="A262" t="s">
        <v>340</v>
      </c>
      <c r="B262" s="2">
        <v>46321</v>
      </c>
      <c r="C262">
        <v>2026</v>
      </c>
      <c r="D262" t="s">
        <v>68</v>
      </c>
      <c r="E262" t="s">
        <v>555</v>
      </c>
      <c r="F262" t="s">
        <v>35</v>
      </c>
      <c r="G262" t="s">
        <v>80</v>
      </c>
      <c r="H262" t="s">
        <v>81</v>
      </c>
      <c r="I262" t="s">
        <v>50</v>
      </c>
      <c r="J262" t="s">
        <v>92</v>
      </c>
      <c r="K262" t="s">
        <v>81</v>
      </c>
      <c r="L262" s="3">
        <v>3585800</v>
      </c>
      <c r="M262" s="3">
        <v>0</v>
      </c>
      <c r="N262" t="s">
        <v>39</v>
      </c>
      <c r="O262" t="s">
        <v>40</v>
      </c>
      <c r="P262" t="s">
        <v>31</v>
      </c>
      <c r="Q262" t="s">
        <v>33</v>
      </c>
      <c r="R262" t="s">
        <v>33</v>
      </c>
      <c r="S262" s="3">
        <v>-8922300</v>
      </c>
      <c r="T262" t="str">
        <f>TEXT(tblTransactions[[#This Row],[Date]],"mmm")</f>
        <v>Oct</v>
      </c>
      <c r="U262">
        <f>MONTH(tblTransactions[[#This Row],[Date]])</f>
        <v>10</v>
      </c>
      <c r="V262" t="str">
        <f>"Q"&amp;ROUNDUP(MONTH(tblTransactions[[#This Row],[Date]])/3,0)</f>
        <v>Q4</v>
      </c>
    </row>
    <row r="263" spans="1:22" x14ac:dyDescent="0.25">
      <c r="A263" t="s">
        <v>341</v>
      </c>
      <c r="B263" s="2">
        <v>46322</v>
      </c>
      <c r="C263">
        <v>2026</v>
      </c>
      <c r="D263" t="s">
        <v>23</v>
      </c>
      <c r="E263" t="s">
        <v>552</v>
      </c>
      <c r="F263" t="s">
        <v>24</v>
      </c>
      <c r="G263" t="s">
        <v>25</v>
      </c>
      <c r="H263" t="s">
        <v>26</v>
      </c>
      <c r="I263" t="s">
        <v>50</v>
      </c>
      <c r="J263" t="s">
        <v>46</v>
      </c>
      <c r="K263" t="s">
        <v>26</v>
      </c>
      <c r="L263" s="3">
        <v>1526200</v>
      </c>
      <c r="M263" s="3">
        <v>1333700</v>
      </c>
      <c r="N263" t="s">
        <v>51</v>
      </c>
      <c r="O263" t="s">
        <v>60</v>
      </c>
      <c r="P263" t="s">
        <v>31</v>
      </c>
      <c r="Q263" t="s">
        <v>33</v>
      </c>
      <c r="R263" t="s">
        <v>33</v>
      </c>
      <c r="S263" s="3">
        <v>-10448500</v>
      </c>
      <c r="T263" t="str">
        <f>TEXT(tblTransactions[[#This Row],[Date]],"mmm")</f>
        <v>Oct</v>
      </c>
      <c r="U263">
        <f>MONTH(tblTransactions[[#This Row],[Date]])</f>
        <v>10</v>
      </c>
      <c r="V263" t="str">
        <f>"Q"&amp;ROUNDUP(MONTH(tblTransactions[[#This Row],[Date]])/3,0)</f>
        <v>Q4</v>
      </c>
    </row>
    <row r="264" spans="1:22" x14ac:dyDescent="0.25">
      <c r="A264" t="s">
        <v>342</v>
      </c>
      <c r="B264" s="2">
        <v>46323</v>
      </c>
      <c r="C264">
        <v>2026</v>
      </c>
      <c r="D264" t="s">
        <v>23</v>
      </c>
      <c r="E264" t="s">
        <v>557</v>
      </c>
      <c r="F264" t="s">
        <v>24</v>
      </c>
      <c r="G264" t="s">
        <v>101</v>
      </c>
      <c r="H264" t="s">
        <v>102</v>
      </c>
      <c r="I264" t="s">
        <v>37</v>
      </c>
      <c r="J264" t="s">
        <v>64</v>
      </c>
      <c r="K264" t="s">
        <v>102</v>
      </c>
      <c r="L264" s="3">
        <v>110200</v>
      </c>
      <c r="M264" s="3">
        <v>1509400</v>
      </c>
      <c r="N264" t="s">
        <v>58</v>
      </c>
      <c r="O264" t="s">
        <v>76</v>
      </c>
      <c r="P264" t="s">
        <v>31</v>
      </c>
      <c r="Q264" t="s">
        <v>32</v>
      </c>
      <c r="R264" t="s">
        <v>33</v>
      </c>
      <c r="S264" s="3">
        <v>-10558700</v>
      </c>
      <c r="T264" t="str">
        <f>TEXT(tblTransactions[[#This Row],[Date]],"mmm")</f>
        <v>Oct</v>
      </c>
      <c r="U264">
        <f>MONTH(tblTransactions[[#This Row],[Date]])</f>
        <v>10</v>
      </c>
      <c r="V264" t="str">
        <f>"Q"&amp;ROUNDUP(MONTH(tblTransactions[[#This Row],[Date]])/3,0)</f>
        <v>Q4</v>
      </c>
    </row>
    <row r="265" spans="1:22" x14ac:dyDescent="0.25">
      <c r="A265" t="s">
        <v>343</v>
      </c>
      <c r="B265" s="2">
        <v>46324</v>
      </c>
      <c r="C265">
        <v>2026</v>
      </c>
      <c r="D265" t="s">
        <v>42</v>
      </c>
      <c r="E265" t="s">
        <v>552</v>
      </c>
      <c r="F265" t="s">
        <v>24</v>
      </c>
      <c r="G265" t="s">
        <v>101</v>
      </c>
      <c r="H265" t="s">
        <v>102</v>
      </c>
      <c r="I265" t="s">
        <v>45</v>
      </c>
      <c r="J265" t="s">
        <v>78</v>
      </c>
      <c r="K265" t="s">
        <v>102</v>
      </c>
      <c r="L265" s="3">
        <v>12200</v>
      </c>
      <c r="M265" s="3">
        <v>448800</v>
      </c>
      <c r="N265" t="s">
        <v>51</v>
      </c>
      <c r="O265" t="s">
        <v>40</v>
      </c>
      <c r="P265" t="s">
        <v>31</v>
      </c>
      <c r="Q265" t="s">
        <v>33</v>
      </c>
      <c r="R265" t="s">
        <v>32</v>
      </c>
      <c r="S265" s="3">
        <v>-10570900</v>
      </c>
      <c r="T265" t="str">
        <f>TEXT(tblTransactions[[#This Row],[Date]],"mmm")</f>
        <v>Oct</v>
      </c>
      <c r="U265">
        <f>MONTH(tblTransactions[[#This Row],[Date]])</f>
        <v>10</v>
      </c>
      <c r="V265" t="str">
        <f>"Q"&amp;ROUNDUP(MONTH(tblTransactions[[#This Row],[Date]])/3,0)</f>
        <v>Q4</v>
      </c>
    </row>
    <row r="266" spans="1:22" x14ac:dyDescent="0.25">
      <c r="A266" t="s">
        <v>344</v>
      </c>
      <c r="B266" s="2">
        <v>46325</v>
      </c>
      <c r="C266">
        <v>2026</v>
      </c>
      <c r="D266" t="s">
        <v>68</v>
      </c>
      <c r="E266" t="s">
        <v>553</v>
      </c>
      <c r="F266" t="s">
        <v>24</v>
      </c>
      <c r="G266" t="s">
        <v>25</v>
      </c>
      <c r="H266" t="s">
        <v>26</v>
      </c>
      <c r="I266" t="s">
        <v>27</v>
      </c>
      <c r="J266" t="s">
        <v>78</v>
      </c>
      <c r="K266" t="s">
        <v>26</v>
      </c>
      <c r="L266" s="3">
        <v>1927400</v>
      </c>
      <c r="M266" s="3">
        <v>1663100</v>
      </c>
      <c r="N266" t="s">
        <v>58</v>
      </c>
      <c r="O266" t="s">
        <v>76</v>
      </c>
      <c r="P266" t="s">
        <v>31</v>
      </c>
      <c r="Q266" t="s">
        <v>32</v>
      </c>
      <c r="R266" t="s">
        <v>33</v>
      </c>
      <c r="S266" s="3">
        <v>-12498300</v>
      </c>
      <c r="T266" t="str">
        <f>TEXT(tblTransactions[[#This Row],[Date]],"mmm")</f>
        <v>Oct</v>
      </c>
      <c r="U266">
        <f>MONTH(tblTransactions[[#This Row],[Date]])</f>
        <v>10</v>
      </c>
      <c r="V266" t="str">
        <f>"Q"&amp;ROUNDUP(MONTH(tblTransactions[[#This Row],[Date]])/3,0)</f>
        <v>Q4</v>
      </c>
    </row>
    <row r="267" spans="1:22" x14ac:dyDescent="0.25">
      <c r="A267" t="s">
        <v>345</v>
      </c>
      <c r="B267" s="2">
        <v>46326</v>
      </c>
      <c r="C267">
        <v>2026</v>
      </c>
      <c r="D267" t="s">
        <v>23</v>
      </c>
      <c r="E267" t="s">
        <v>552</v>
      </c>
      <c r="F267" t="s">
        <v>35</v>
      </c>
      <c r="G267" t="s">
        <v>80</v>
      </c>
      <c r="H267" t="s">
        <v>81</v>
      </c>
      <c r="I267" t="s">
        <v>45</v>
      </c>
      <c r="J267" t="s">
        <v>28</v>
      </c>
      <c r="K267" t="s">
        <v>81</v>
      </c>
      <c r="L267" s="3">
        <v>7696300</v>
      </c>
      <c r="M267" s="3">
        <v>0</v>
      </c>
      <c r="N267" t="s">
        <v>29</v>
      </c>
      <c r="O267" t="s">
        <v>47</v>
      </c>
      <c r="P267" t="s">
        <v>31</v>
      </c>
      <c r="Q267" t="s">
        <v>33</v>
      </c>
      <c r="R267" t="s">
        <v>33</v>
      </c>
      <c r="S267" s="3">
        <v>-4802000</v>
      </c>
      <c r="T267" t="str">
        <f>TEXT(tblTransactions[[#This Row],[Date]],"mmm")</f>
        <v>Oct</v>
      </c>
      <c r="U267">
        <f>MONTH(tblTransactions[[#This Row],[Date]])</f>
        <v>10</v>
      </c>
      <c r="V267" t="str">
        <f>"Q"&amp;ROUNDUP(MONTH(tblTransactions[[#This Row],[Date]])/3,0)</f>
        <v>Q4</v>
      </c>
    </row>
    <row r="268" spans="1:22" x14ac:dyDescent="0.25">
      <c r="A268" t="s">
        <v>346</v>
      </c>
      <c r="B268" s="2">
        <v>46327</v>
      </c>
      <c r="C268">
        <v>2026</v>
      </c>
      <c r="D268" t="s">
        <v>23</v>
      </c>
      <c r="E268" t="s">
        <v>553</v>
      </c>
      <c r="F268" t="s">
        <v>24</v>
      </c>
      <c r="G268" t="s">
        <v>25</v>
      </c>
      <c r="H268" t="s">
        <v>26</v>
      </c>
      <c r="I268" t="s">
        <v>27</v>
      </c>
      <c r="J268" t="s">
        <v>87</v>
      </c>
      <c r="K268" t="s">
        <v>26</v>
      </c>
      <c r="L268" s="3">
        <v>1161200</v>
      </c>
      <c r="M268" s="3">
        <v>1115000</v>
      </c>
      <c r="N268" t="s">
        <v>39</v>
      </c>
      <c r="O268" t="s">
        <v>98</v>
      </c>
      <c r="P268" t="s">
        <v>31</v>
      </c>
      <c r="Q268" t="s">
        <v>33</v>
      </c>
      <c r="R268" t="s">
        <v>33</v>
      </c>
      <c r="S268" s="3">
        <v>-5963200</v>
      </c>
      <c r="T268" t="str">
        <f>TEXT(tblTransactions[[#This Row],[Date]],"mmm")</f>
        <v>Nov</v>
      </c>
      <c r="U268">
        <f>MONTH(tblTransactions[[#This Row],[Date]])</f>
        <v>11</v>
      </c>
      <c r="V268" t="str">
        <f>"Q"&amp;ROUNDUP(MONTH(tblTransactions[[#This Row],[Date]])/3,0)</f>
        <v>Q4</v>
      </c>
    </row>
    <row r="269" spans="1:22" x14ac:dyDescent="0.25">
      <c r="A269" t="s">
        <v>347</v>
      </c>
      <c r="B269" s="2">
        <v>46328</v>
      </c>
      <c r="C269">
        <v>2026</v>
      </c>
      <c r="D269" t="s">
        <v>68</v>
      </c>
      <c r="E269" t="s">
        <v>557</v>
      </c>
      <c r="F269" t="s">
        <v>24</v>
      </c>
      <c r="G269" t="s">
        <v>70</v>
      </c>
      <c r="H269" t="s">
        <v>71</v>
      </c>
      <c r="I269" t="s">
        <v>56</v>
      </c>
      <c r="J269" t="s">
        <v>64</v>
      </c>
      <c r="K269" t="s">
        <v>71</v>
      </c>
      <c r="L269" s="3">
        <v>539300</v>
      </c>
      <c r="M269" s="3">
        <v>1503700</v>
      </c>
      <c r="N269" t="s">
        <v>39</v>
      </c>
      <c r="O269" t="s">
        <v>47</v>
      </c>
      <c r="P269" t="s">
        <v>31</v>
      </c>
      <c r="Q269" t="s">
        <v>32</v>
      </c>
      <c r="R269" t="s">
        <v>33</v>
      </c>
      <c r="S269" s="3">
        <v>-6502500</v>
      </c>
      <c r="T269" t="str">
        <f>TEXT(tblTransactions[[#This Row],[Date]],"mmm")</f>
        <v>Nov</v>
      </c>
      <c r="U269">
        <f>MONTH(tblTransactions[[#This Row],[Date]])</f>
        <v>11</v>
      </c>
      <c r="V269" t="str">
        <f>"Q"&amp;ROUNDUP(MONTH(tblTransactions[[#This Row],[Date]])/3,0)</f>
        <v>Q4</v>
      </c>
    </row>
    <row r="270" spans="1:22" x14ac:dyDescent="0.25">
      <c r="A270" t="s">
        <v>348</v>
      </c>
      <c r="B270" s="2">
        <v>46329</v>
      </c>
      <c r="C270">
        <v>2026</v>
      </c>
      <c r="D270" t="s">
        <v>42</v>
      </c>
      <c r="E270" t="s">
        <v>557</v>
      </c>
      <c r="F270" t="s">
        <v>24</v>
      </c>
      <c r="G270" t="s">
        <v>74</v>
      </c>
      <c r="H270" t="s">
        <v>75</v>
      </c>
      <c r="I270" t="s">
        <v>45</v>
      </c>
      <c r="J270" t="s">
        <v>92</v>
      </c>
      <c r="K270" t="s">
        <v>75</v>
      </c>
      <c r="L270" s="3">
        <v>776500</v>
      </c>
      <c r="M270" s="3">
        <v>874300</v>
      </c>
      <c r="N270" t="s">
        <v>51</v>
      </c>
      <c r="O270" t="s">
        <v>76</v>
      </c>
      <c r="P270" t="s">
        <v>31</v>
      </c>
      <c r="Q270" t="s">
        <v>32</v>
      </c>
      <c r="R270" t="s">
        <v>33</v>
      </c>
      <c r="S270" s="3">
        <v>-7279000</v>
      </c>
      <c r="T270" t="str">
        <f>TEXT(tblTransactions[[#This Row],[Date]],"mmm")</f>
        <v>Nov</v>
      </c>
      <c r="U270">
        <f>MONTH(tblTransactions[[#This Row],[Date]])</f>
        <v>11</v>
      </c>
      <c r="V270" t="str">
        <f>"Q"&amp;ROUNDUP(MONTH(tblTransactions[[#This Row],[Date]])/3,0)</f>
        <v>Q4</v>
      </c>
    </row>
    <row r="271" spans="1:22" x14ac:dyDescent="0.25">
      <c r="A271" t="s">
        <v>349</v>
      </c>
      <c r="B271" s="2">
        <v>46331</v>
      </c>
      <c r="C271">
        <v>2026</v>
      </c>
      <c r="D271" t="s">
        <v>68</v>
      </c>
      <c r="E271" t="s">
        <v>557</v>
      </c>
      <c r="F271" t="s">
        <v>24</v>
      </c>
      <c r="G271" t="s">
        <v>101</v>
      </c>
      <c r="H271" t="s">
        <v>102</v>
      </c>
      <c r="I271" t="s">
        <v>37</v>
      </c>
      <c r="J271" t="s">
        <v>78</v>
      </c>
      <c r="K271" t="s">
        <v>102</v>
      </c>
      <c r="L271" s="3">
        <v>780000</v>
      </c>
      <c r="M271" s="3">
        <v>1971500</v>
      </c>
      <c r="N271" t="s">
        <v>29</v>
      </c>
      <c r="O271" t="s">
        <v>66</v>
      </c>
      <c r="P271" t="s">
        <v>31</v>
      </c>
      <c r="Q271" t="s">
        <v>33</v>
      </c>
      <c r="R271" t="s">
        <v>33</v>
      </c>
      <c r="S271" s="3">
        <v>-8059000</v>
      </c>
      <c r="T271" t="str">
        <f>TEXT(tblTransactions[[#This Row],[Date]],"mmm")</f>
        <v>Nov</v>
      </c>
      <c r="U271">
        <f>MONTH(tblTransactions[[#This Row],[Date]])</f>
        <v>11</v>
      </c>
      <c r="V271" t="str">
        <f>"Q"&amp;ROUNDUP(MONTH(tblTransactions[[#This Row],[Date]])/3,0)</f>
        <v>Q4</v>
      </c>
    </row>
    <row r="272" spans="1:22" x14ac:dyDescent="0.25">
      <c r="A272" t="s">
        <v>350</v>
      </c>
      <c r="B272" s="2">
        <v>46332</v>
      </c>
      <c r="C272">
        <v>2026</v>
      </c>
      <c r="D272" t="s">
        <v>23</v>
      </c>
      <c r="E272" t="s">
        <v>552</v>
      </c>
      <c r="F272" t="s">
        <v>24</v>
      </c>
      <c r="G272" t="s">
        <v>43</v>
      </c>
      <c r="H272" t="s">
        <v>44</v>
      </c>
      <c r="I272" t="s">
        <v>45</v>
      </c>
      <c r="J272" t="s">
        <v>78</v>
      </c>
      <c r="K272" t="s">
        <v>44</v>
      </c>
      <c r="L272" s="3">
        <v>628400</v>
      </c>
      <c r="M272" s="3">
        <v>1518600</v>
      </c>
      <c r="N272" t="s">
        <v>51</v>
      </c>
      <c r="O272" t="s">
        <v>98</v>
      </c>
      <c r="P272" t="s">
        <v>31</v>
      </c>
      <c r="Q272" t="s">
        <v>33</v>
      </c>
      <c r="R272" t="s">
        <v>32</v>
      </c>
      <c r="S272" s="3">
        <v>-8687400</v>
      </c>
      <c r="T272" t="str">
        <f>TEXT(tblTransactions[[#This Row],[Date]],"mmm")</f>
        <v>Nov</v>
      </c>
      <c r="U272">
        <f>MONTH(tblTransactions[[#This Row],[Date]])</f>
        <v>11</v>
      </c>
      <c r="V272" t="str">
        <f>"Q"&amp;ROUNDUP(MONTH(tblTransactions[[#This Row],[Date]])/3,0)</f>
        <v>Q4</v>
      </c>
    </row>
    <row r="273" spans="1:22" x14ac:dyDescent="0.25">
      <c r="A273" t="s">
        <v>351</v>
      </c>
      <c r="B273" s="2">
        <v>46333</v>
      </c>
      <c r="C273">
        <v>2026</v>
      </c>
      <c r="D273" t="s">
        <v>42</v>
      </c>
      <c r="E273" t="s">
        <v>555</v>
      </c>
      <c r="F273" t="s">
        <v>35</v>
      </c>
      <c r="G273" t="s">
        <v>95</v>
      </c>
      <c r="H273" t="s">
        <v>96</v>
      </c>
      <c r="I273" t="s">
        <v>42</v>
      </c>
      <c r="J273" t="s">
        <v>92</v>
      </c>
      <c r="K273" t="s">
        <v>96</v>
      </c>
      <c r="L273" s="3">
        <v>7750000</v>
      </c>
      <c r="M273" s="3">
        <v>0</v>
      </c>
      <c r="N273" t="s">
        <v>58</v>
      </c>
      <c r="O273" t="s">
        <v>60</v>
      </c>
      <c r="P273" t="s">
        <v>31</v>
      </c>
      <c r="Q273" t="s">
        <v>32</v>
      </c>
      <c r="R273" t="s">
        <v>33</v>
      </c>
      <c r="S273" s="3">
        <v>-937400</v>
      </c>
      <c r="T273" t="str">
        <f>TEXT(tblTransactions[[#This Row],[Date]],"mmm")</f>
        <v>Nov</v>
      </c>
      <c r="U273">
        <f>MONTH(tblTransactions[[#This Row],[Date]])</f>
        <v>11</v>
      </c>
      <c r="V273" t="str">
        <f>"Q"&amp;ROUNDUP(MONTH(tblTransactions[[#This Row],[Date]])/3,0)</f>
        <v>Q4</v>
      </c>
    </row>
    <row r="274" spans="1:22" x14ac:dyDescent="0.25">
      <c r="A274" t="s">
        <v>352</v>
      </c>
      <c r="B274" s="2">
        <v>46334</v>
      </c>
      <c r="C274">
        <v>2026</v>
      </c>
      <c r="D274" t="s">
        <v>23</v>
      </c>
      <c r="E274" t="s">
        <v>553</v>
      </c>
      <c r="F274" t="s">
        <v>24</v>
      </c>
      <c r="G274" t="s">
        <v>70</v>
      </c>
      <c r="H274" t="s">
        <v>71</v>
      </c>
      <c r="I274" t="s">
        <v>50</v>
      </c>
      <c r="J274" t="s">
        <v>46</v>
      </c>
      <c r="K274" t="s">
        <v>71</v>
      </c>
      <c r="L274" s="3">
        <v>466400</v>
      </c>
      <c r="M274" s="3">
        <v>1881000</v>
      </c>
      <c r="N274" t="s">
        <v>29</v>
      </c>
      <c r="O274" t="s">
        <v>52</v>
      </c>
      <c r="P274" t="s">
        <v>31</v>
      </c>
      <c r="Q274" t="s">
        <v>33</v>
      </c>
      <c r="R274" t="s">
        <v>33</v>
      </c>
      <c r="S274" s="3">
        <v>-1403800</v>
      </c>
      <c r="T274" t="str">
        <f>TEXT(tblTransactions[[#This Row],[Date]],"mmm")</f>
        <v>Nov</v>
      </c>
      <c r="U274">
        <f>MONTH(tblTransactions[[#This Row],[Date]])</f>
        <v>11</v>
      </c>
      <c r="V274" t="str">
        <f>"Q"&amp;ROUNDUP(MONTH(tblTransactions[[#This Row],[Date]])/3,0)</f>
        <v>Q4</v>
      </c>
    </row>
    <row r="275" spans="1:22" x14ac:dyDescent="0.25">
      <c r="A275" t="s">
        <v>353</v>
      </c>
      <c r="B275" s="2">
        <v>46335</v>
      </c>
      <c r="C275">
        <v>2026</v>
      </c>
      <c r="D275" t="s">
        <v>42</v>
      </c>
      <c r="E275" t="s">
        <v>557</v>
      </c>
      <c r="F275" t="s">
        <v>35</v>
      </c>
      <c r="G275" t="s">
        <v>49</v>
      </c>
      <c r="H275" t="s">
        <v>49</v>
      </c>
      <c r="I275" t="s">
        <v>56</v>
      </c>
      <c r="J275" t="s">
        <v>92</v>
      </c>
      <c r="K275" t="s">
        <v>49</v>
      </c>
      <c r="L275" s="3">
        <v>6333200</v>
      </c>
      <c r="M275" s="3">
        <v>0</v>
      </c>
      <c r="N275" t="s">
        <v>29</v>
      </c>
      <c r="O275" t="s">
        <v>47</v>
      </c>
      <c r="P275" t="s">
        <v>31</v>
      </c>
      <c r="Q275" t="s">
        <v>32</v>
      </c>
      <c r="R275" t="s">
        <v>32</v>
      </c>
      <c r="S275" s="3">
        <v>4929400</v>
      </c>
      <c r="T275" t="str">
        <f>TEXT(tblTransactions[[#This Row],[Date]],"mmm")</f>
        <v>Nov</v>
      </c>
      <c r="U275">
        <f>MONTH(tblTransactions[[#This Row],[Date]])</f>
        <v>11</v>
      </c>
      <c r="V275" t="str">
        <f>"Q"&amp;ROUNDUP(MONTH(tblTransactions[[#This Row],[Date]])/3,0)</f>
        <v>Q4</v>
      </c>
    </row>
    <row r="276" spans="1:22" x14ac:dyDescent="0.25">
      <c r="A276" t="s">
        <v>354</v>
      </c>
      <c r="B276" s="2">
        <v>46336</v>
      </c>
      <c r="C276">
        <v>2026</v>
      </c>
      <c r="D276" t="s">
        <v>68</v>
      </c>
      <c r="E276" t="s">
        <v>553</v>
      </c>
      <c r="F276" t="s">
        <v>24</v>
      </c>
      <c r="G276" t="s">
        <v>101</v>
      </c>
      <c r="H276" t="s">
        <v>102</v>
      </c>
      <c r="I276" t="s">
        <v>50</v>
      </c>
      <c r="J276" t="s">
        <v>28</v>
      </c>
      <c r="K276" t="s">
        <v>102</v>
      </c>
      <c r="L276" s="3">
        <v>1018700</v>
      </c>
      <c r="M276" s="3">
        <v>708700</v>
      </c>
      <c r="N276" t="s">
        <v>29</v>
      </c>
      <c r="O276" t="s">
        <v>52</v>
      </c>
      <c r="P276" t="s">
        <v>31</v>
      </c>
      <c r="Q276" t="s">
        <v>33</v>
      </c>
      <c r="R276" t="s">
        <v>33</v>
      </c>
      <c r="S276" s="3">
        <v>3910700</v>
      </c>
      <c r="T276" t="str">
        <f>TEXT(tblTransactions[[#This Row],[Date]],"mmm")</f>
        <v>Nov</v>
      </c>
      <c r="U276">
        <f>MONTH(tblTransactions[[#This Row],[Date]])</f>
        <v>11</v>
      </c>
      <c r="V276" t="str">
        <f>"Q"&amp;ROUNDUP(MONTH(tblTransactions[[#This Row],[Date]])/3,0)</f>
        <v>Q4</v>
      </c>
    </row>
    <row r="277" spans="1:22" x14ac:dyDescent="0.25">
      <c r="A277" t="s">
        <v>355</v>
      </c>
      <c r="B277" s="2">
        <v>46337</v>
      </c>
      <c r="C277">
        <v>2026</v>
      </c>
      <c r="D277" t="s">
        <v>68</v>
      </c>
      <c r="E277" t="s">
        <v>553</v>
      </c>
      <c r="F277" t="s">
        <v>24</v>
      </c>
      <c r="G277" t="s">
        <v>74</v>
      </c>
      <c r="H277" t="s">
        <v>75</v>
      </c>
      <c r="I277" t="s">
        <v>37</v>
      </c>
      <c r="J277" t="s">
        <v>64</v>
      </c>
      <c r="K277" t="s">
        <v>75</v>
      </c>
      <c r="L277" s="3">
        <v>1911400</v>
      </c>
      <c r="M277" s="3">
        <v>441900</v>
      </c>
      <c r="N277" t="s">
        <v>58</v>
      </c>
      <c r="O277" t="s">
        <v>40</v>
      </c>
      <c r="P277" t="s">
        <v>31</v>
      </c>
      <c r="Q277" t="s">
        <v>33</v>
      </c>
      <c r="R277" t="s">
        <v>32</v>
      </c>
      <c r="S277" s="3">
        <v>1999300</v>
      </c>
      <c r="T277" t="str">
        <f>TEXT(tblTransactions[[#This Row],[Date]],"mmm")</f>
        <v>Nov</v>
      </c>
      <c r="U277">
        <f>MONTH(tblTransactions[[#This Row],[Date]])</f>
        <v>11</v>
      </c>
      <c r="V277" t="str">
        <f>"Q"&amp;ROUNDUP(MONTH(tblTransactions[[#This Row],[Date]])/3,0)</f>
        <v>Q4</v>
      </c>
    </row>
    <row r="278" spans="1:22" x14ac:dyDescent="0.25">
      <c r="A278" t="s">
        <v>356</v>
      </c>
      <c r="B278" s="2">
        <v>46338</v>
      </c>
      <c r="C278">
        <v>2026</v>
      </c>
      <c r="D278" t="s">
        <v>42</v>
      </c>
      <c r="E278" t="s">
        <v>554</v>
      </c>
      <c r="F278" t="s">
        <v>24</v>
      </c>
      <c r="G278" t="s">
        <v>43</v>
      </c>
      <c r="H278" t="s">
        <v>44</v>
      </c>
      <c r="I278" t="s">
        <v>37</v>
      </c>
      <c r="J278" t="s">
        <v>115</v>
      </c>
      <c r="K278" t="s">
        <v>44</v>
      </c>
      <c r="L278" s="3">
        <v>1043400</v>
      </c>
      <c r="M278" s="3">
        <v>149800</v>
      </c>
      <c r="N278" t="s">
        <v>29</v>
      </c>
      <c r="O278" t="s">
        <v>72</v>
      </c>
      <c r="P278" t="s">
        <v>31</v>
      </c>
      <c r="Q278" t="s">
        <v>32</v>
      </c>
      <c r="R278" t="s">
        <v>32</v>
      </c>
      <c r="S278" s="3">
        <v>955900</v>
      </c>
      <c r="T278" t="str">
        <f>TEXT(tblTransactions[[#This Row],[Date]],"mmm")</f>
        <v>Nov</v>
      </c>
      <c r="U278">
        <f>MONTH(tblTransactions[[#This Row],[Date]])</f>
        <v>11</v>
      </c>
      <c r="V278" t="str">
        <f>"Q"&amp;ROUNDUP(MONTH(tblTransactions[[#This Row],[Date]])/3,0)</f>
        <v>Q4</v>
      </c>
    </row>
    <row r="279" spans="1:22" x14ac:dyDescent="0.25">
      <c r="A279" t="s">
        <v>357</v>
      </c>
      <c r="B279" s="2">
        <v>46339</v>
      </c>
      <c r="C279">
        <v>2026</v>
      </c>
      <c r="D279" t="s">
        <v>23</v>
      </c>
      <c r="E279" t="s">
        <v>555</v>
      </c>
      <c r="F279" t="s">
        <v>24</v>
      </c>
      <c r="G279" t="s">
        <v>74</v>
      </c>
      <c r="H279" t="s">
        <v>75</v>
      </c>
      <c r="I279" t="s">
        <v>37</v>
      </c>
      <c r="J279" t="s">
        <v>28</v>
      </c>
      <c r="K279" t="s">
        <v>75</v>
      </c>
      <c r="L279" s="3">
        <v>578000</v>
      </c>
      <c r="M279" s="3">
        <v>933400</v>
      </c>
      <c r="N279" t="s">
        <v>39</v>
      </c>
      <c r="O279" t="s">
        <v>66</v>
      </c>
      <c r="P279" t="s">
        <v>31</v>
      </c>
      <c r="Q279" t="s">
        <v>32</v>
      </c>
      <c r="R279" t="s">
        <v>33</v>
      </c>
      <c r="S279" s="3">
        <v>377900</v>
      </c>
      <c r="T279" t="str">
        <f>TEXT(tblTransactions[[#This Row],[Date]],"mmm")</f>
        <v>Nov</v>
      </c>
      <c r="U279">
        <f>MONTH(tblTransactions[[#This Row],[Date]])</f>
        <v>11</v>
      </c>
      <c r="V279" t="str">
        <f>"Q"&amp;ROUNDUP(MONTH(tblTransactions[[#This Row],[Date]])/3,0)</f>
        <v>Q4</v>
      </c>
    </row>
    <row r="280" spans="1:22" x14ac:dyDescent="0.25">
      <c r="A280" t="s">
        <v>358</v>
      </c>
      <c r="B280" s="2">
        <v>46340</v>
      </c>
      <c r="C280">
        <v>2026</v>
      </c>
      <c r="D280" t="s">
        <v>68</v>
      </c>
      <c r="E280" t="s">
        <v>553</v>
      </c>
      <c r="F280" t="s">
        <v>24</v>
      </c>
      <c r="G280" t="s">
        <v>62</v>
      </c>
      <c r="H280" t="s">
        <v>63</v>
      </c>
      <c r="I280" t="s">
        <v>42</v>
      </c>
      <c r="J280" t="s">
        <v>46</v>
      </c>
      <c r="K280" t="s">
        <v>63</v>
      </c>
      <c r="L280" s="3">
        <v>871600</v>
      </c>
      <c r="M280" s="3">
        <v>486000</v>
      </c>
      <c r="N280" t="s">
        <v>51</v>
      </c>
      <c r="O280" t="s">
        <v>40</v>
      </c>
      <c r="P280" t="s">
        <v>31</v>
      </c>
      <c r="Q280" t="s">
        <v>33</v>
      </c>
      <c r="R280" t="s">
        <v>33</v>
      </c>
      <c r="S280" s="3">
        <v>-493700</v>
      </c>
      <c r="T280" t="str">
        <f>TEXT(tblTransactions[[#This Row],[Date]],"mmm")</f>
        <v>Nov</v>
      </c>
      <c r="U280">
        <f>MONTH(tblTransactions[[#This Row],[Date]])</f>
        <v>11</v>
      </c>
      <c r="V280" t="str">
        <f>"Q"&amp;ROUNDUP(MONTH(tblTransactions[[#This Row],[Date]])/3,0)</f>
        <v>Q4</v>
      </c>
    </row>
    <row r="281" spans="1:22" x14ac:dyDescent="0.25">
      <c r="A281" t="s">
        <v>359</v>
      </c>
      <c r="B281" s="2">
        <v>46341</v>
      </c>
      <c r="C281">
        <v>2026</v>
      </c>
      <c r="D281" t="s">
        <v>23</v>
      </c>
      <c r="E281" t="s">
        <v>553</v>
      </c>
      <c r="F281" t="s">
        <v>24</v>
      </c>
      <c r="G281" t="s">
        <v>101</v>
      </c>
      <c r="H281" t="s">
        <v>102</v>
      </c>
      <c r="I281" t="s">
        <v>27</v>
      </c>
      <c r="J281" t="s">
        <v>78</v>
      </c>
      <c r="K281" t="s">
        <v>102</v>
      </c>
      <c r="L281" s="3">
        <v>1806200</v>
      </c>
      <c r="M281" s="3">
        <v>1527100</v>
      </c>
      <c r="N281" t="s">
        <v>39</v>
      </c>
      <c r="O281" t="s">
        <v>109</v>
      </c>
      <c r="P281" t="s">
        <v>31</v>
      </c>
      <c r="Q281" t="s">
        <v>33</v>
      </c>
      <c r="R281" t="s">
        <v>33</v>
      </c>
      <c r="S281" s="3">
        <v>-2299900</v>
      </c>
      <c r="T281" t="str">
        <f>TEXT(tblTransactions[[#This Row],[Date]],"mmm")</f>
        <v>Nov</v>
      </c>
      <c r="U281">
        <f>MONTH(tblTransactions[[#This Row],[Date]])</f>
        <v>11</v>
      </c>
      <c r="V281" t="str">
        <f>"Q"&amp;ROUNDUP(MONTH(tblTransactions[[#This Row],[Date]])/3,0)</f>
        <v>Q4</v>
      </c>
    </row>
    <row r="282" spans="1:22" x14ac:dyDescent="0.25">
      <c r="A282" t="s">
        <v>360</v>
      </c>
      <c r="B282" s="2">
        <v>46342</v>
      </c>
      <c r="C282">
        <v>2026</v>
      </c>
      <c r="D282" t="s">
        <v>42</v>
      </c>
      <c r="E282" t="s">
        <v>557</v>
      </c>
      <c r="F282" t="s">
        <v>35</v>
      </c>
      <c r="G282" t="s">
        <v>49</v>
      </c>
      <c r="H282" t="s">
        <v>49</v>
      </c>
      <c r="I282" t="s">
        <v>27</v>
      </c>
      <c r="J282" t="s">
        <v>28</v>
      </c>
      <c r="K282" t="s">
        <v>49</v>
      </c>
      <c r="L282" s="3">
        <v>3890600</v>
      </c>
      <c r="M282" s="3">
        <v>0</v>
      </c>
      <c r="N282" t="s">
        <v>51</v>
      </c>
      <c r="O282" t="s">
        <v>40</v>
      </c>
      <c r="P282" t="s">
        <v>31</v>
      </c>
      <c r="Q282" t="s">
        <v>33</v>
      </c>
      <c r="R282" t="s">
        <v>33</v>
      </c>
      <c r="S282" s="3">
        <v>1590700</v>
      </c>
      <c r="T282" t="str">
        <f>TEXT(tblTransactions[[#This Row],[Date]],"mmm")</f>
        <v>Nov</v>
      </c>
      <c r="U282">
        <f>MONTH(tblTransactions[[#This Row],[Date]])</f>
        <v>11</v>
      </c>
      <c r="V282" t="str">
        <f>"Q"&amp;ROUNDUP(MONTH(tblTransactions[[#This Row],[Date]])/3,0)</f>
        <v>Q4</v>
      </c>
    </row>
    <row r="283" spans="1:22" x14ac:dyDescent="0.25">
      <c r="A283" t="s">
        <v>361</v>
      </c>
      <c r="B283" s="2">
        <v>46343</v>
      </c>
      <c r="C283">
        <v>2026</v>
      </c>
      <c r="D283" t="s">
        <v>23</v>
      </c>
      <c r="E283" t="s">
        <v>554</v>
      </c>
      <c r="F283" t="s">
        <v>24</v>
      </c>
      <c r="G283" t="s">
        <v>101</v>
      </c>
      <c r="H283" t="s">
        <v>102</v>
      </c>
      <c r="I283" t="s">
        <v>37</v>
      </c>
      <c r="J283" t="s">
        <v>87</v>
      </c>
      <c r="K283" t="s">
        <v>102</v>
      </c>
      <c r="L283" s="3">
        <v>468400</v>
      </c>
      <c r="M283" s="3">
        <v>1441100</v>
      </c>
      <c r="N283" t="s">
        <v>51</v>
      </c>
      <c r="O283" t="s">
        <v>40</v>
      </c>
      <c r="P283" t="s">
        <v>31</v>
      </c>
      <c r="Q283" t="s">
        <v>33</v>
      </c>
      <c r="R283" t="s">
        <v>32</v>
      </c>
      <c r="S283" s="3">
        <v>1122300</v>
      </c>
      <c r="T283" t="str">
        <f>TEXT(tblTransactions[[#This Row],[Date]],"mmm")</f>
        <v>Nov</v>
      </c>
      <c r="U283">
        <f>MONTH(tblTransactions[[#This Row],[Date]])</f>
        <v>11</v>
      </c>
      <c r="V283" t="str">
        <f>"Q"&amp;ROUNDUP(MONTH(tblTransactions[[#This Row],[Date]])/3,0)</f>
        <v>Q4</v>
      </c>
    </row>
    <row r="284" spans="1:22" x14ac:dyDescent="0.25">
      <c r="A284" t="s">
        <v>362</v>
      </c>
      <c r="B284" s="2">
        <v>46344</v>
      </c>
      <c r="C284">
        <v>2026</v>
      </c>
      <c r="D284" t="s">
        <v>42</v>
      </c>
      <c r="E284" t="s">
        <v>552</v>
      </c>
      <c r="F284" t="s">
        <v>35</v>
      </c>
      <c r="G284" t="s">
        <v>95</v>
      </c>
      <c r="H284" t="s">
        <v>96</v>
      </c>
      <c r="I284" t="s">
        <v>50</v>
      </c>
      <c r="J284" t="s">
        <v>57</v>
      </c>
      <c r="K284" t="s">
        <v>96</v>
      </c>
      <c r="L284" s="3">
        <v>376400</v>
      </c>
      <c r="M284" s="3">
        <v>0</v>
      </c>
      <c r="N284" t="s">
        <v>29</v>
      </c>
      <c r="O284" t="s">
        <v>72</v>
      </c>
      <c r="P284" t="s">
        <v>31</v>
      </c>
      <c r="Q284" t="s">
        <v>33</v>
      </c>
      <c r="R284" t="s">
        <v>33</v>
      </c>
      <c r="S284" s="3">
        <v>1498700</v>
      </c>
      <c r="T284" t="str">
        <f>TEXT(tblTransactions[[#This Row],[Date]],"mmm")</f>
        <v>Nov</v>
      </c>
      <c r="U284">
        <f>MONTH(tblTransactions[[#This Row],[Date]])</f>
        <v>11</v>
      </c>
      <c r="V284" t="str">
        <f>"Q"&amp;ROUNDUP(MONTH(tblTransactions[[#This Row],[Date]])/3,0)</f>
        <v>Q4</v>
      </c>
    </row>
    <row r="285" spans="1:22" x14ac:dyDescent="0.25">
      <c r="A285" t="s">
        <v>363</v>
      </c>
      <c r="B285" s="2">
        <v>46345</v>
      </c>
      <c r="C285">
        <v>2026</v>
      </c>
      <c r="D285" t="s">
        <v>42</v>
      </c>
      <c r="E285" t="s">
        <v>555</v>
      </c>
      <c r="F285" t="s">
        <v>24</v>
      </c>
      <c r="G285" t="s">
        <v>62</v>
      </c>
      <c r="H285" t="s">
        <v>63</v>
      </c>
      <c r="I285" t="s">
        <v>27</v>
      </c>
      <c r="J285" t="s">
        <v>115</v>
      </c>
      <c r="K285" t="s">
        <v>63</v>
      </c>
      <c r="L285" s="3">
        <v>369800</v>
      </c>
      <c r="M285" s="3">
        <v>683800</v>
      </c>
      <c r="N285" t="s">
        <v>29</v>
      </c>
      <c r="O285" t="s">
        <v>98</v>
      </c>
      <c r="P285" t="s">
        <v>31</v>
      </c>
      <c r="Q285" t="s">
        <v>33</v>
      </c>
      <c r="R285" t="s">
        <v>33</v>
      </c>
      <c r="S285" s="3">
        <v>1128900</v>
      </c>
      <c r="T285" t="str">
        <f>TEXT(tblTransactions[[#This Row],[Date]],"mmm")</f>
        <v>Nov</v>
      </c>
      <c r="U285">
        <f>MONTH(tblTransactions[[#This Row],[Date]])</f>
        <v>11</v>
      </c>
      <c r="V285" t="str">
        <f>"Q"&amp;ROUNDUP(MONTH(tblTransactions[[#This Row],[Date]])/3,0)</f>
        <v>Q4</v>
      </c>
    </row>
    <row r="286" spans="1:22" x14ac:dyDescent="0.25">
      <c r="A286" t="s">
        <v>364</v>
      </c>
      <c r="B286" s="2">
        <v>46346</v>
      </c>
      <c r="C286">
        <v>2026</v>
      </c>
      <c r="D286" t="s">
        <v>68</v>
      </c>
      <c r="E286" t="s">
        <v>556</v>
      </c>
      <c r="F286" t="s">
        <v>24</v>
      </c>
      <c r="G286" t="s">
        <v>43</v>
      </c>
      <c r="H286" t="s">
        <v>44</v>
      </c>
      <c r="I286" t="s">
        <v>56</v>
      </c>
      <c r="J286" t="s">
        <v>28</v>
      </c>
      <c r="K286" t="s">
        <v>44</v>
      </c>
      <c r="L286" s="3">
        <v>1289400</v>
      </c>
      <c r="M286" s="3">
        <v>932600</v>
      </c>
      <c r="N286" t="s">
        <v>29</v>
      </c>
      <c r="O286" t="s">
        <v>66</v>
      </c>
      <c r="P286" t="s">
        <v>31</v>
      </c>
      <c r="Q286" t="s">
        <v>32</v>
      </c>
      <c r="R286" t="s">
        <v>33</v>
      </c>
      <c r="S286" s="3">
        <v>-160500</v>
      </c>
      <c r="T286" t="str">
        <f>TEXT(tblTransactions[[#This Row],[Date]],"mmm")</f>
        <v>Nov</v>
      </c>
      <c r="U286">
        <f>MONTH(tblTransactions[[#This Row],[Date]])</f>
        <v>11</v>
      </c>
      <c r="V286" t="str">
        <f>"Q"&amp;ROUNDUP(MONTH(tblTransactions[[#This Row],[Date]])/3,0)</f>
        <v>Q4</v>
      </c>
    </row>
    <row r="287" spans="1:22" x14ac:dyDescent="0.25">
      <c r="A287" t="s">
        <v>365</v>
      </c>
      <c r="B287" s="2">
        <v>46347</v>
      </c>
      <c r="C287">
        <v>2026</v>
      </c>
      <c r="D287" t="s">
        <v>23</v>
      </c>
      <c r="E287" t="s">
        <v>556</v>
      </c>
      <c r="F287" t="s">
        <v>35</v>
      </c>
      <c r="G287" t="s">
        <v>49</v>
      </c>
      <c r="H287" t="s">
        <v>49</v>
      </c>
      <c r="I287" t="s">
        <v>27</v>
      </c>
      <c r="J287" t="s">
        <v>115</v>
      </c>
      <c r="K287" t="s">
        <v>49</v>
      </c>
      <c r="L287" s="3">
        <v>5999100</v>
      </c>
      <c r="M287" s="3">
        <v>0</v>
      </c>
      <c r="N287" t="s">
        <v>58</v>
      </c>
      <c r="O287" t="s">
        <v>66</v>
      </c>
      <c r="P287" t="s">
        <v>31</v>
      </c>
      <c r="Q287" t="s">
        <v>33</v>
      </c>
      <c r="R287" t="s">
        <v>32</v>
      </c>
      <c r="S287" s="3">
        <v>5838600</v>
      </c>
      <c r="T287" t="str">
        <f>TEXT(tblTransactions[[#This Row],[Date]],"mmm")</f>
        <v>Nov</v>
      </c>
      <c r="U287">
        <f>MONTH(tblTransactions[[#This Row],[Date]])</f>
        <v>11</v>
      </c>
      <c r="V287" t="str">
        <f>"Q"&amp;ROUNDUP(MONTH(tblTransactions[[#This Row],[Date]])/3,0)</f>
        <v>Q4</v>
      </c>
    </row>
    <row r="288" spans="1:22" x14ac:dyDescent="0.25">
      <c r="A288" t="s">
        <v>366</v>
      </c>
      <c r="B288" s="2">
        <v>46348</v>
      </c>
      <c r="C288">
        <v>2026</v>
      </c>
      <c r="D288" t="s">
        <v>68</v>
      </c>
      <c r="E288" t="s">
        <v>552</v>
      </c>
      <c r="F288" t="s">
        <v>24</v>
      </c>
      <c r="G288" t="s">
        <v>107</v>
      </c>
      <c r="H288" t="s">
        <v>108</v>
      </c>
      <c r="I288" t="s">
        <v>37</v>
      </c>
      <c r="J288" t="s">
        <v>28</v>
      </c>
      <c r="K288" t="s">
        <v>108</v>
      </c>
      <c r="L288" s="3">
        <v>1146000</v>
      </c>
      <c r="M288" s="3">
        <v>1696000</v>
      </c>
      <c r="N288" t="s">
        <v>58</v>
      </c>
      <c r="O288" t="s">
        <v>60</v>
      </c>
      <c r="P288" t="s">
        <v>31</v>
      </c>
      <c r="Q288" t="s">
        <v>33</v>
      </c>
      <c r="R288" t="s">
        <v>33</v>
      </c>
      <c r="S288" s="3">
        <v>4692600</v>
      </c>
      <c r="T288" t="str">
        <f>TEXT(tblTransactions[[#This Row],[Date]],"mmm")</f>
        <v>Nov</v>
      </c>
      <c r="U288">
        <f>MONTH(tblTransactions[[#This Row],[Date]])</f>
        <v>11</v>
      </c>
      <c r="V288" t="str">
        <f>"Q"&amp;ROUNDUP(MONTH(tblTransactions[[#This Row],[Date]])/3,0)</f>
        <v>Q4</v>
      </c>
    </row>
    <row r="289" spans="1:22" x14ac:dyDescent="0.25">
      <c r="A289" t="s">
        <v>367</v>
      </c>
      <c r="B289" s="2">
        <v>46349</v>
      </c>
      <c r="C289">
        <v>2026</v>
      </c>
      <c r="D289" t="s">
        <v>42</v>
      </c>
      <c r="E289" t="s">
        <v>554</v>
      </c>
      <c r="F289" t="s">
        <v>24</v>
      </c>
      <c r="G289" t="s">
        <v>101</v>
      </c>
      <c r="H289" t="s">
        <v>102</v>
      </c>
      <c r="I289" t="s">
        <v>42</v>
      </c>
      <c r="J289" t="s">
        <v>87</v>
      </c>
      <c r="K289" t="s">
        <v>102</v>
      </c>
      <c r="L289" s="3">
        <v>1061200</v>
      </c>
      <c r="M289" s="3">
        <v>1305100</v>
      </c>
      <c r="N289" t="s">
        <v>58</v>
      </c>
      <c r="O289" t="s">
        <v>40</v>
      </c>
      <c r="P289" t="s">
        <v>31</v>
      </c>
      <c r="Q289" t="s">
        <v>33</v>
      </c>
      <c r="R289" t="s">
        <v>32</v>
      </c>
      <c r="S289" s="3">
        <v>3631400</v>
      </c>
      <c r="T289" t="str">
        <f>TEXT(tblTransactions[[#This Row],[Date]],"mmm")</f>
        <v>Nov</v>
      </c>
      <c r="U289">
        <f>MONTH(tblTransactions[[#This Row],[Date]])</f>
        <v>11</v>
      </c>
      <c r="V289" t="str">
        <f>"Q"&amp;ROUNDUP(MONTH(tblTransactions[[#This Row],[Date]])/3,0)</f>
        <v>Q4</v>
      </c>
    </row>
    <row r="290" spans="1:22" x14ac:dyDescent="0.25">
      <c r="A290" t="s">
        <v>368</v>
      </c>
      <c r="B290" s="2">
        <v>46350</v>
      </c>
      <c r="C290">
        <v>2026</v>
      </c>
      <c r="D290" t="s">
        <v>23</v>
      </c>
      <c r="E290" t="s">
        <v>552</v>
      </c>
      <c r="F290" t="s">
        <v>35</v>
      </c>
      <c r="G290" t="s">
        <v>80</v>
      </c>
      <c r="H290" t="s">
        <v>81</v>
      </c>
      <c r="I290" t="s">
        <v>45</v>
      </c>
      <c r="J290" t="s">
        <v>87</v>
      </c>
      <c r="K290" t="s">
        <v>81</v>
      </c>
      <c r="L290" s="3">
        <v>6905500</v>
      </c>
      <c r="M290" s="3">
        <v>0</v>
      </c>
      <c r="N290" t="s">
        <v>51</v>
      </c>
      <c r="O290" t="s">
        <v>66</v>
      </c>
      <c r="P290" t="s">
        <v>31</v>
      </c>
      <c r="Q290" t="s">
        <v>33</v>
      </c>
      <c r="R290" t="s">
        <v>33</v>
      </c>
      <c r="S290" s="3">
        <v>10536900</v>
      </c>
      <c r="T290" t="str">
        <f>TEXT(tblTransactions[[#This Row],[Date]],"mmm")</f>
        <v>Nov</v>
      </c>
      <c r="U290">
        <f>MONTH(tblTransactions[[#This Row],[Date]])</f>
        <v>11</v>
      </c>
      <c r="V290" t="str">
        <f>"Q"&amp;ROUNDUP(MONTH(tblTransactions[[#This Row],[Date]])/3,0)</f>
        <v>Q4</v>
      </c>
    </row>
    <row r="291" spans="1:22" x14ac:dyDescent="0.25">
      <c r="A291" t="s">
        <v>369</v>
      </c>
      <c r="B291" s="2">
        <v>46352</v>
      </c>
      <c r="C291">
        <v>2026</v>
      </c>
      <c r="D291" t="s">
        <v>23</v>
      </c>
      <c r="E291" t="s">
        <v>553</v>
      </c>
      <c r="F291" t="s">
        <v>24</v>
      </c>
      <c r="G291" t="s">
        <v>74</v>
      </c>
      <c r="H291" t="s">
        <v>75</v>
      </c>
      <c r="I291" t="s">
        <v>50</v>
      </c>
      <c r="J291" t="s">
        <v>115</v>
      </c>
      <c r="K291" t="s">
        <v>75</v>
      </c>
      <c r="L291" s="3">
        <v>1559200</v>
      </c>
      <c r="M291" s="3">
        <v>1039500</v>
      </c>
      <c r="N291" t="s">
        <v>29</v>
      </c>
      <c r="O291" t="s">
        <v>30</v>
      </c>
      <c r="P291" t="s">
        <v>31</v>
      </c>
      <c r="Q291" t="s">
        <v>32</v>
      </c>
      <c r="R291" t="s">
        <v>32</v>
      </c>
      <c r="S291" s="3">
        <v>8977700</v>
      </c>
      <c r="T291" t="str">
        <f>TEXT(tblTransactions[[#This Row],[Date]],"mmm")</f>
        <v>Nov</v>
      </c>
      <c r="U291">
        <f>MONTH(tblTransactions[[#This Row],[Date]])</f>
        <v>11</v>
      </c>
      <c r="V291" t="str">
        <f>"Q"&amp;ROUNDUP(MONTH(tblTransactions[[#This Row],[Date]])/3,0)</f>
        <v>Q4</v>
      </c>
    </row>
    <row r="292" spans="1:22" x14ac:dyDescent="0.25">
      <c r="A292" t="s">
        <v>370</v>
      </c>
      <c r="B292" s="2">
        <v>46353</v>
      </c>
      <c r="C292">
        <v>2026</v>
      </c>
      <c r="D292" t="s">
        <v>23</v>
      </c>
      <c r="E292" t="s">
        <v>555</v>
      </c>
      <c r="F292" t="s">
        <v>35</v>
      </c>
      <c r="G292" t="s">
        <v>36</v>
      </c>
      <c r="H292" t="s">
        <v>36</v>
      </c>
      <c r="I292" t="s">
        <v>56</v>
      </c>
      <c r="J292" t="s">
        <v>57</v>
      </c>
      <c r="K292" t="s">
        <v>36</v>
      </c>
      <c r="L292" s="3">
        <v>2759900</v>
      </c>
      <c r="M292" s="3">
        <v>0</v>
      </c>
      <c r="N292" t="s">
        <v>29</v>
      </c>
      <c r="O292" t="s">
        <v>60</v>
      </c>
      <c r="P292" t="s">
        <v>31</v>
      </c>
      <c r="Q292" t="s">
        <v>32</v>
      </c>
      <c r="R292" t="s">
        <v>32</v>
      </c>
      <c r="S292" s="3">
        <v>11737600</v>
      </c>
      <c r="T292" t="str">
        <f>TEXT(tblTransactions[[#This Row],[Date]],"mmm")</f>
        <v>Nov</v>
      </c>
      <c r="U292">
        <f>MONTH(tblTransactions[[#This Row],[Date]])</f>
        <v>11</v>
      </c>
      <c r="V292" t="str">
        <f>"Q"&amp;ROUNDUP(MONTH(tblTransactions[[#This Row],[Date]])/3,0)</f>
        <v>Q4</v>
      </c>
    </row>
    <row r="293" spans="1:22" x14ac:dyDescent="0.25">
      <c r="A293" t="s">
        <v>371</v>
      </c>
      <c r="B293" s="2">
        <v>46354</v>
      </c>
      <c r="C293">
        <v>2026</v>
      </c>
      <c r="D293" t="s">
        <v>42</v>
      </c>
      <c r="E293" t="s">
        <v>557</v>
      </c>
      <c r="F293" t="s">
        <v>24</v>
      </c>
      <c r="G293" t="s">
        <v>70</v>
      </c>
      <c r="H293" t="s">
        <v>71</v>
      </c>
      <c r="I293" t="s">
        <v>56</v>
      </c>
      <c r="J293" t="s">
        <v>64</v>
      </c>
      <c r="K293" t="s">
        <v>71</v>
      </c>
      <c r="L293" s="3">
        <v>610000</v>
      </c>
      <c r="M293" s="3">
        <v>207400</v>
      </c>
      <c r="N293" t="s">
        <v>39</v>
      </c>
      <c r="O293" t="s">
        <v>30</v>
      </c>
      <c r="P293" t="s">
        <v>31</v>
      </c>
      <c r="Q293" t="s">
        <v>33</v>
      </c>
      <c r="R293" t="s">
        <v>32</v>
      </c>
      <c r="S293" s="3">
        <v>11127600</v>
      </c>
      <c r="T293" t="str">
        <f>TEXT(tblTransactions[[#This Row],[Date]],"mmm")</f>
        <v>Nov</v>
      </c>
      <c r="U293">
        <f>MONTH(tblTransactions[[#This Row],[Date]])</f>
        <v>11</v>
      </c>
      <c r="V293" t="str">
        <f>"Q"&amp;ROUNDUP(MONTH(tblTransactions[[#This Row],[Date]])/3,0)</f>
        <v>Q4</v>
      </c>
    </row>
    <row r="294" spans="1:22" x14ac:dyDescent="0.25">
      <c r="A294" t="s">
        <v>372</v>
      </c>
      <c r="B294" s="2">
        <v>46356</v>
      </c>
      <c r="C294">
        <v>2026</v>
      </c>
      <c r="D294" t="s">
        <v>23</v>
      </c>
      <c r="E294" t="s">
        <v>552</v>
      </c>
      <c r="F294" t="s">
        <v>24</v>
      </c>
      <c r="G294" t="s">
        <v>25</v>
      </c>
      <c r="H294" t="s">
        <v>26</v>
      </c>
      <c r="I294" t="s">
        <v>45</v>
      </c>
      <c r="J294" t="s">
        <v>28</v>
      </c>
      <c r="K294" t="s">
        <v>26</v>
      </c>
      <c r="L294" s="3">
        <v>1371800</v>
      </c>
      <c r="M294" s="3">
        <v>1412400</v>
      </c>
      <c r="N294" t="s">
        <v>51</v>
      </c>
      <c r="O294" t="s">
        <v>72</v>
      </c>
      <c r="P294" t="s">
        <v>31</v>
      </c>
      <c r="Q294" t="s">
        <v>32</v>
      </c>
      <c r="R294" t="s">
        <v>33</v>
      </c>
      <c r="S294" s="3">
        <v>9755800</v>
      </c>
      <c r="T294" t="str">
        <f>TEXT(tblTransactions[[#This Row],[Date]],"mmm")</f>
        <v>Nov</v>
      </c>
      <c r="U294">
        <f>MONTH(tblTransactions[[#This Row],[Date]])</f>
        <v>11</v>
      </c>
      <c r="V294" t="str">
        <f>"Q"&amp;ROUNDUP(MONTH(tblTransactions[[#This Row],[Date]])/3,0)</f>
        <v>Q4</v>
      </c>
    </row>
    <row r="295" spans="1:22" x14ac:dyDescent="0.25">
      <c r="A295" t="s">
        <v>373</v>
      </c>
      <c r="B295" s="2">
        <v>46358</v>
      </c>
      <c r="C295">
        <v>2026</v>
      </c>
      <c r="D295" t="s">
        <v>42</v>
      </c>
      <c r="E295" t="s">
        <v>554</v>
      </c>
      <c r="F295" t="s">
        <v>24</v>
      </c>
      <c r="G295" t="s">
        <v>70</v>
      </c>
      <c r="H295" t="s">
        <v>71</v>
      </c>
      <c r="I295" t="s">
        <v>37</v>
      </c>
      <c r="J295" t="s">
        <v>64</v>
      </c>
      <c r="K295" t="s">
        <v>71</v>
      </c>
      <c r="L295" s="3">
        <v>1583100</v>
      </c>
      <c r="M295" s="3">
        <v>1100000</v>
      </c>
      <c r="N295" t="s">
        <v>58</v>
      </c>
      <c r="O295" t="s">
        <v>30</v>
      </c>
      <c r="P295" t="s">
        <v>31</v>
      </c>
      <c r="Q295" t="s">
        <v>33</v>
      </c>
      <c r="R295" t="s">
        <v>33</v>
      </c>
      <c r="S295" s="3">
        <v>8172700</v>
      </c>
      <c r="T295" t="str">
        <f>TEXT(tblTransactions[[#This Row],[Date]],"mmm")</f>
        <v>Dec</v>
      </c>
      <c r="U295">
        <f>MONTH(tblTransactions[[#This Row],[Date]])</f>
        <v>12</v>
      </c>
      <c r="V295" t="str">
        <f>"Q"&amp;ROUNDUP(MONTH(tblTransactions[[#This Row],[Date]])/3,0)</f>
        <v>Q4</v>
      </c>
    </row>
    <row r="296" spans="1:22" x14ac:dyDescent="0.25">
      <c r="A296" t="s">
        <v>374</v>
      </c>
      <c r="B296" s="2">
        <v>46359</v>
      </c>
      <c r="C296">
        <v>2026</v>
      </c>
      <c r="D296" t="s">
        <v>23</v>
      </c>
      <c r="E296" t="s">
        <v>555</v>
      </c>
      <c r="F296" t="s">
        <v>24</v>
      </c>
      <c r="G296" t="s">
        <v>54</v>
      </c>
      <c r="H296" t="s">
        <v>55</v>
      </c>
      <c r="I296" t="s">
        <v>56</v>
      </c>
      <c r="J296" t="s">
        <v>78</v>
      </c>
      <c r="K296" t="s">
        <v>55</v>
      </c>
      <c r="L296" s="3">
        <v>1959000</v>
      </c>
      <c r="M296" s="3">
        <v>1293500</v>
      </c>
      <c r="N296" t="s">
        <v>39</v>
      </c>
      <c r="O296" t="s">
        <v>52</v>
      </c>
      <c r="P296" t="s">
        <v>31</v>
      </c>
      <c r="Q296" t="s">
        <v>32</v>
      </c>
      <c r="R296" t="s">
        <v>32</v>
      </c>
      <c r="S296" s="3">
        <v>6213700</v>
      </c>
      <c r="T296" t="str">
        <f>TEXT(tblTransactions[[#This Row],[Date]],"mmm")</f>
        <v>Dec</v>
      </c>
      <c r="U296">
        <f>MONTH(tblTransactions[[#This Row],[Date]])</f>
        <v>12</v>
      </c>
      <c r="V296" t="str">
        <f>"Q"&amp;ROUNDUP(MONTH(tblTransactions[[#This Row],[Date]])/3,0)</f>
        <v>Q4</v>
      </c>
    </row>
    <row r="297" spans="1:22" x14ac:dyDescent="0.25">
      <c r="A297" t="s">
        <v>375</v>
      </c>
      <c r="B297" s="2">
        <v>46360</v>
      </c>
      <c r="C297">
        <v>2026</v>
      </c>
      <c r="D297" t="s">
        <v>23</v>
      </c>
      <c r="E297" t="s">
        <v>552</v>
      </c>
      <c r="F297" t="s">
        <v>24</v>
      </c>
      <c r="G297" t="s">
        <v>107</v>
      </c>
      <c r="H297" t="s">
        <v>108</v>
      </c>
      <c r="I297" t="s">
        <v>45</v>
      </c>
      <c r="J297" t="s">
        <v>28</v>
      </c>
      <c r="K297" t="s">
        <v>108</v>
      </c>
      <c r="L297" s="3">
        <v>1390600</v>
      </c>
      <c r="M297" s="3">
        <v>1428600</v>
      </c>
      <c r="N297" t="s">
        <v>29</v>
      </c>
      <c r="O297" t="s">
        <v>76</v>
      </c>
      <c r="P297" t="s">
        <v>31</v>
      </c>
      <c r="Q297" t="s">
        <v>33</v>
      </c>
      <c r="R297" t="s">
        <v>33</v>
      </c>
      <c r="S297" s="3">
        <v>4823100</v>
      </c>
      <c r="T297" t="str">
        <f>TEXT(tblTransactions[[#This Row],[Date]],"mmm")</f>
        <v>Dec</v>
      </c>
      <c r="U297">
        <f>MONTH(tblTransactions[[#This Row],[Date]])</f>
        <v>12</v>
      </c>
      <c r="V297" t="str">
        <f>"Q"&amp;ROUNDUP(MONTH(tblTransactions[[#This Row],[Date]])/3,0)</f>
        <v>Q4</v>
      </c>
    </row>
    <row r="298" spans="1:22" x14ac:dyDescent="0.25">
      <c r="A298" t="s">
        <v>376</v>
      </c>
      <c r="B298" s="2">
        <v>46361</v>
      </c>
      <c r="C298">
        <v>2026</v>
      </c>
      <c r="D298" t="s">
        <v>68</v>
      </c>
      <c r="E298" t="s">
        <v>552</v>
      </c>
      <c r="F298" t="s">
        <v>24</v>
      </c>
      <c r="G298" t="s">
        <v>107</v>
      </c>
      <c r="H298" t="s">
        <v>108</v>
      </c>
      <c r="I298" t="s">
        <v>27</v>
      </c>
      <c r="J298" t="s">
        <v>64</v>
      </c>
      <c r="K298" t="s">
        <v>108</v>
      </c>
      <c r="L298" s="3">
        <v>194100</v>
      </c>
      <c r="M298" s="3">
        <v>162200</v>
      </c>
      <c r="N298" t="s">
        <v>29</v>
      </c>
      <c r="O298" t="s">
        <v>30</v>
      </c>
      <c r="P298" t="s">
        <v>31</v>
      </c>
      <c r="Q298" t="s">
        <v>33</v>
      </c>
      <c r="R298" t="s">
        <v>33</v>
      </c>
      <c r="S298" s="3">
        <v>4629000</v>
      </c>
      <c r="T298" t="str">
        <f>TEXT(tblTransactions[[#This Row],[Date]],"mmm")</f>
        <v>Dec</v>
      </c>
      <c r="U298">
        <f>MONTH(tblTransactions[[#This Row],[Date]])</f>
        <v>12</v>
      </c>
      <c r="V298" t="str">
        <f>"Q"&amp;ROUNDUP(MONTH(tblTransactions[[#This Row],[Date]])/3,0)</f>
        <v>Q4</v>
      </c>
    </row>
    <row r="299" spans="1:22" x14ac:dyDescent="0.25">
      <c r="A299" t="s">
        <v>377</v>
      </c>
      <c r="B299" s="2">
        <v>46362</v>
      </c>
      <c r="C299">
        <v>2026</v>
      </c>
      <c r="D299" t="s">
        <v>42</v>
      </c>
      <c r="E299" t="s">
        <v>556</v>
      </c>
      <c r="F299" t="s">
        <v>24</v>
      </c>
      <c r="G299" t="s">
        <v>62</v>
      </c>
      <c r="H299" t="s">
        <v>63</v>
      </c>
      <c r="I299" t="s">
        <v>56</v>
      </c>
      <c r="J299" t="s">
        <v>64</v>
      </c>
      <c r="K299" t="s">
        <v>63</v>
      </c>
      <c r="L299" s="3">
        <v>177500</v>
      </c>
      <c r="M299" s="3">
        <v>1942300</v>
      </c>
      <c r="N299" t="s">
        <v>39</v>
      </c>
      <c r="O299" t="s">
        <v>72</v>
      </c>
      <c r="P299" t="s">
        <v>31</v>
      </c>
      <c r="Q299" t="s">
        <v>32</v>
      </c>
      <c r="R299" t="s">
        <v>33</v>
      </c>
      <c r="S299" s="3">
        <v>4451500</v>
      </c>
      <c r="T299" t="str">
        <f>TEXT(tblTransactions[[#This Row],[Date]],"mmm")</f>
        <v>Dec</v>
      </c>
      <c r="U299">
        <f>MONTH(tblTransactions[[#This Row],[Date]])</f>
        <v>12</v>
      </c>
      <c r="V299" t="str">
        <f>"Q"&amp;ROUNDUP(MONTH(tblTransactions[[#This Row],[Date]])/3,0)</f>
        <v>Q4</v>
      </c>
    </row>
    <row r="300" spans="1:22" x14ac:dyDescent="0.25">
      <c r="A300" t="s">
        <v>378</v>
      </c>
      <c r="B300" s="2">
        <v>46363</v>
      </c>
      <c r="C300">
        <v>2026</v>
      </c>
      <c r="D300" t="s">
        <v>23</v>
      </c>
      <c r="E300" t="s">
        <v>553</v>
      </c>
      <c r="F300" t="s">
        <v>24</v>
      </c>
      <c r="G300" t="s">
        <v>62</v>
      </c>
      <c r="H300" t="s">
        <v>63</v>
      </c>
      <c r="I300" t="s">
        <v>42</v>
      </c>
      <c r="J300" t="s">
        <v>38</v>
      </c>
      <c r="K300" t="s">
        <v>63</v>
      </c>
      <c r="L300" s="3">
        <v>801400</v>
      </c>
      <c r="M300" s="3">
        <v>576000</v>
      </c>
      <c r="N300" t="s">
        <v>39</v>
      </c>
      <c r="O300" t="s">
        <v>52</v>
      </c>
      <c r="P300" t="s">
        <v>31</v>
      </c>
      <c r="Q300" t="s">
        <v>33</v>
      </c>
      <c r="R300" t="s">
        <v>33</v>
      </c>
      <c r="S300" s="3">
        <v>3650100</v>
      </c>
      <c r="T300" t="str">
        <f>TEXT(tblTransactions[[#This Row],[Date]],"mmm")</f>
        <v>Dec</v>
      </c>
      <c r="U300">
        <f>MONTH(tblTransactions[[#This Row],[Date]])</f>
        <v>12</v>
      </c>
      <c r="V300" t="str">
        <f>"Q"&amp;ROUNDUP(MONTH(tblTransactions[[#This Row],[Date]])/3,0)</f>
        <v>Q4</v>
      </c>
    </row>
    <row r="301" spans="1:22" x14ac:dyDescent="0.25">
      <c r="A301" t="s">
        <v>379</v>
      </c>
      <c r="B301" s="2">
        <v>46364</v>
      </c>
      <c r="C301">
        <v>2026</v>
      </c>
      <c r="D301" t="s">
        <v>68</v>
      </c>
      <c r="E301" t="s">
        <v>556</v>
      </c>
      <c r="F301" t="s">
        <v>24</v>
      </c>
      <c r="G301" t="s">
        <v>62</v>
      </c>
      <c r="H301" t="s">
        <v>63</v>
      </c>
      <c r="I301" t="s">
        <v>45</v>
      </c>
      <c r="J301" t="s">
        <v>78</v>
      </c>
      <c r="K301" t="s">
        <v>63</v>
      </c>
      <c r="L301" s="3">
        <v>1199500</v>
      </c>
      <c r="M301" s="3">
        <v>1072700</v>
      </c>
      <c r="N301" t="s">
        <v>58</v>
      </c>
      <c r="O301" t="s">
        <v>72</v>
      </c>
      <c r="P301" t="s">
        <v>31</v>
      </c>
      <c r="Q301" t="s">
        <v>32</v>
      </c>
      <c r="R301" t="s">
        <v>33</v>
      </c>
      <c r="S301" s="3">
        <v>2450600</v>
      </c>
      <c r="T301" t="str">
        <f>TEXT(tblTransactions[[#This Row],[Date]],"mmm")</f>
        <v>Dec</v>
      </c>
      <c r="U301">
        <f>MONTH(tblTransactions[[#This Row],[Date]])</f>
        <v>12</v>
      </c>
      <c r="V301" t="str">
        <f>"Q"&amp;ROUNDUP(MONTH(tblTransactions[[#This Row],[Date]])/3,0)</f>
        <v>Q4</v>
      </c>
    </row>
    <row r="302" spans="1:22" x14ac:dyDescent="0.25">
      <c r="A302" t="s">
        <v>380</v>
      </c>
      <c r="B302" s="2">
        <v>46366</v>
      </c>
      <c r="C302">
        <v>2026</v>
      </c>
      <c r="D302" t="s">
        <v>23</v>
      </c>
      <c r="E302" t="s">
        <v>553</v>
      </c>
      <c r="F302" t="s">
        <v>35</v>
      </c>
      <c r="G302" t="s">
        <v>49</v>
      </c>
      <c r="H302" t="s">
        <v>49</v>
      </c>
      <c r="I302" t="s">
        <v>42</v>
      </c>
      <c r="J302" t="s">
        <v>115</v>
      </c>
      <c r="K302" t="s">
        <v>49</v>
      </c>
      <c r="L302" s="3">
        <v>3313900</v>
      </c>
      <c r="M302" s="3">
        <v>0</v>
      </c>
      <c r="N302" t="s">
        <v>51</v>
      </c>
      <c r="O302" t="s">
        <v>72</v>
      </c>
      <c r="P302" t="s">
        <v>31</v>
      </c>
      <c r="Q302" t="s">
        <v>33</v>
      </c>
      <c r="R302" t="s">
        <v>33</v>
      </c>
      <c r="S302" s="3">
        <v>5764500</v>
      </c>
      <c r="T302" t="str">
        <f>TEXT(tblTransactions[[#This Row],[Date]],"mmm")</f>
        <v>Dec</v>
      </c>
      <c r="U302">
        <f>MONTH(tblTransactions[[#This Row],[Date]])</f>
        <v>12</v>
      </c>
      <c r="V302" t="str">
        <f>"Q"&amp;ROUNDUP(MONTH(tblTransactions[[#This Row],[Date]])/3,0)</f>
        <v>Q4</v>
      </c>
    </row>
    <row r="303" spans="1:22" x14ac:dyDescent="0.25">
      <c r="A303" t="s">
        <v>381</v>
      </c>
      <c r="B303" s="2">
        <v>46367</v>
      </c>
      <c r="C303">
        <v>2026</v>
      </c>
      <c r="D303" t="s">
        <v>68</v>
      </c>
      <c r="E303" t="s">
        <v>554</v>
      </c>
      <c r="F303" t="s">
        <v>24</v>
      </c>
      <c r="G303" t="s">
        <v>62</v>
      </c>
      <c r="H303" t="s">
        <v>63</v>
      </c>
      <c r="I303" t="s">
        <v>45</v>
      </c>
      <c r="J303" t="s">
        <v>57</v>
      </c>
      <c r="K303" t="s">
        <v>63</v>
      </c>
      <c r="L303" s="3">
        <v>1270700</v>
      </c>
      <c r="M303" s="3">
        <v>1381800</v>
      </c>
      <c r="N303" t="s">
        <v>51</v>
      </c>
      <c r="O303" t="s">
        <v>40</v>
      </c>
      <c r="P303" t="s">
        <v>31</v>
      </c>
      <c r="Q303" t="s">
        <v>33</v>
      </c>
      <c r="R303" t="s">
        <v>33</v>
      </c>
      <c r="S303" s="3">
        <v>4493800</v>
      </c>
      <c r="T303" t="str">
        <f>TEXT(tblTransactions[[#This Row],[Date]],"mmm")</f>
        <v>Dec</v>
      </c>
      <c r="U303">
        <f>MONTH(tblTransactions[[#This Row],[Date]])</f>
        <v>12</v>
      </c>
      <c r="V303" t="str">
        <f>"Q"&amp;ROUNDUP(MONTH(tblTransactions[[#This Row],[Date]])/3,0)</f>
        <v>Q4</v>
      </c>
    </row>
    <row r="304" spans="1:22" x14ac:dyDescent="0.25">
      <c r="A304" t="s">
        <v>382</v>
      </c>
      <c r="B304" s="2">
        <v>46368</v>
      </c>
      <c r="C304">
        <v>2026</v>
      </c>
      <c r="D304" t="s">
        <v>42</v>
      </c>
      <c r="E304" t="s">
        <v>553</v>
      </c>
      <c r="F304" t="s">
        <v>35</v>
      </c>
      <c r="G304" t="s">
        <v>80</v>
      </c>
      <c r="H304" t="s">
        <v>81</v>
      </c>
      <c r="I304" t="s">
        <v>42</v>
      </c>
      <c r="J304" t="s">
        <v>92</v>
      </c>
      <c r="K304" t="s">
        <v>81</v>
      </c>
      <c r="L304" s="3">
        <v>7395400</v>
      </c>
      <c r="M304" s="3">
        <v>0</v>
      </c>
      <c r="N304" t="s">
        <v>58</v>
      </c>
      <c r="O304" t="s">
        <v>72</v>
      </c>
      <c r="P304" t="s">
        <v>31</v>
      </c>
      <c r="Q304" t="s">
        <v>33</v>
      </c>
      <c r="R304" t="s">
        <v>33</v>
      </c>
      <c r="S304" s="3">
        <v>11889200</v>
      </c>
      <c r="T304" t="str">
        <f>TEXT(tblTransactions[[#This Row],[Date]],"mmm")</f>
        <v>Dec</v>
      </c>
      <c r="U304">
        <f>MONTH(tblTransactions[[#This Row],[Date]])</f>
        <v>12</v>
      </c>
      <c r="V304" t="str">
        <f>"Q"&amp;ROUNDUP(MONTH(tblTransactions[[#This Row],[Date]])/3,0)</f>
        <v>Q4</v>
      </c>
    </row>
    <row r="305" spans="1:22" x14ac:dyDescent="0.25">
      <c r="A305" t="s">
        <v>383</v>
      </c>
      <c r="B305" s="2">
        <v>46369</v>
      </c>
      <c r="C305">
        <v>2026</v>
      </c>
      <c r="D305" t="s">
        <v>23</v>
      </c>
      <c r="E305" t="s">
        <v>552</v>
      </c>
      <c r="F305" t="s">
        <v>24</v>
      </c>
      <c r="G305" t="s">
        <v>43</v>
      </c>
      <c r="H305" t="s">
        <v>44</v>
      </c>
      <c r="I305" t="s">
        <v>45</v>
      </c>
      <c r="J305" t="s">
        <v>46</v>
      </c>
      <c r="K305" t="s">
        <v>44</v>
      </c>
      <c r="L305" s="3">
        <v>557000</v>
      </c>
      <c r="M305" s="3">
        <v>818500</v>
      </c>
      <c r="N305" t="s">
        <v>39</v>
      </c>
      <c r="O305" t="s">
        <v>30</v>
      </c>
      <c r="P305" t="s">
        <v>31</v>
      </c>
      <c r="Q305" t="s">
        <v>33</v>
      </c>
      <c r="R305" t="s">
        <v>33</v>
      </c>
      <c r="S305" s="3">
        <v>11332200</v>
      </c>
      <c r="T305" t="str">
        <f>TEXT(tblTransactions[[#This Row],[Date]],"mmm")</f>
        <v>Dec</v>
      </c>
      <c r="U305">
        <f>MONTH(tblTransactions[[#This Row],[Date]])</f>
        <v>12</v>
      </c>
      <c r="V305" t="str">
        <f>"Q"&amp;ROUNDUP(MONTH(tblTransactions[[#This Row],[Date]])/3,0)</f>
        <v>Q4</v>
      </c>
    </row>
    <row r="306" spans="1:22" x14ac:dyDescent="0.25">
      <c r="A306" t="s">
        <v>384</v>
      </c>
      <c r="B306" s="2">
        <v>46371</v>
      </c>
      <c r="C306">
        <v>2026</v>
      </c>
      <c r="D306" t="s">
        <v>23</v>
      </c>
      <c r="E306" t="s">
        <v>553</v>
      </c>
      <c r="F306" t="s">
        <v>24</v>
      </c>
      <c r="G306" t="s">
        <v>101</v>
      </c>
      <c r="H306" t="s">
        <v>102</v>
      </c>
      <c r="I306" t="s">
        <v>37</v>
      </c>
      <c r="J306" t="s">
        <v>115</v>
      </c>
      <c r="K306" t="s">
        <v>102</v>
      </c>
      <c r="L306" s="3">
        <v>1119100</v>
      </c>
      <c r="M306" s="3">
        <v>403500</v>
      </c>
      <c r="N306" t="s">
        <v>39</v>
      </c>
      <c r="O306" t="s">
        <v>76</v>
      </c>
      <c r="P306" t="s">
        <v>31</v>
      </c>
      <c r="Q306" t="s">
        <v>33</v>
      </c>
      <c r="R306" t="s">
        <v>33</v>
      </c>
      <c r="S306" s="3">
        <v>10213100</v>
      </c>
      <c r="T306" t="str">
        <f>TEXT(tblTransactions[[#This Row],[Date]],"mmm")</f>
        <v>Dec</v>
      </c>
      <c r="U306">
        <f>MONTH(tblTransactions[[#This Row],[Date]])</f>
        <v>12</v>
      </c>
      <c r="V306" t="str">
        <f>"Q"&amp;ROUNDUP(MONTH(tblTransactions[[#This Row],[Date]])/3,0)</f>
        <v>Q4</v>
      </c>
    </row>
    <row r="307" spans="1:22" x14ac:dyDescent="0.25">
      <c r="A307" t="s">
        <v>385</v>
      </c>
      <c r="B307" s="2">
        <v>46372</v>
      </c>
      <c r="C307">
        <v>2026</v>
      </c>
      <c r="D307" t="s">
        <v>42</v>
      </c>
      <c r="E307" t="s">
        <v>554</v>
      </c>
      <c r="F307" t="s">
        <v>24</v>
      </c>
      <c r="G307" t="s">
        <v>101</v>
      </c>
      <c r="H307" t="s">
        <v>102</v>
      </c>
      <c r="I307" t="s">
        <v>37</v>
      </c>
      <c r="J307" t="s">
        <v>115</v>
      </c>
      <c r="K307" t="s">
        <v>102</v>
      </c>
      <c r="L307" s="3">
        <v>1982400</v>
      </c>
      <c r="M307" s="3">
        <v>1810100</v>
      </c>
      <c r="N307" t="s">
        <v>58</v>
      </c>
      <c r="O307" t="s">
        <v>72</v>
      </c>
      <c r="P307" t="s">
        <v>31</v>
      </c>
      <c r="Q307" t="s">
        <v>33</v>
      </c>
      <c r="R307" t="s">
        <v>33</v>
      </c>
      <c r="S307" s="3">
        <v>8230700</v>
      </c>
      <c r="T307" t="str">
        <f>TEXT(tblTransactions[[#This Row],[Date]],"mmm")</f>
        <v>Dec</v>
      </c>
      <c r="U307">
        <f>MONTH(tblTransactions[[#This Row],[Date]])</f>
        <v>12</v>
      </c>
      <c r="V307" t="str">
        <f>"Q"&amp;ROUNDUP(MONTH(tblTransactions[[#This Row],[Date]])/3,0)</f>
        <v>Q4</v>
      </c>
    </row>
    <row r="308" spans="1:22" x14ac:dyDescent="0.25">
      <c r="A308" t="s">
        <v>386</v>
      </c>
      <c r="B308" s="2">
        <v>46373</v>
      </c>
      <c r="C308">
        <v>2026</v>
      </c>
      <c r="D308" t="s">
        <v>42</v>
      </c>
      <c r="E308" t="s">
        <v>557</v>
      </c>
      <c r="F308" t="s">
        <v>24</v>
      </c>
      <c r="G308" t="s">
        <v>74</v>
      </c>
      <c r="H308" t="s">
        <v>75</v>
      </c>
      <c r="I308" t="s">
        <v>27</v>
      </c>
      <c r="J308" t="s">
        <v>28</v>
      </c>
      <c r="K308" t="s">
        <v>75</v>
      </c>
      <c r="L308" s="3">
        <v>675500</v>
      </c>
      <c r="M308" s="3">
        <v>1930500</v>
      </c>
      <c r="N308" t="s">
        <v>29</v>
      </c>
      <c r="O308" t="s">
        <v>72</v>
      </c>
      <c r="P308" t="s">
        <v>31</v>
      </c>
      <c r="Q308" t="s">
        <v>33</v>
      </c>
      <c r="R308" t="s">
        <v>32</v>
      </c>
      <c r="S308" s="3">
        <v>7555200</v>
      </c>
      <c r="T308" t="str">
        <f>TEXT(tblTransactions[[#This Row],[Date]],"mmm")</f>
        <v>Dec</v>
      </c>
      <c r="U308">
        <f>MONTH(tblTransactions[[#This Row],[Date]])</f>
        <v>12</v>
      </c>
      <c r="V308" t="str">
        <f>"Q"&amp;ROUNDUP(MONTH(tblTransactions[[#This Row],[Date]])/3,0)</f>
        <v>Q4</v>
      </c>
    </row>
    <row r="309" spans="1:22" x14ac:dyDescent="0.25">
      <c r="A309" t="s">
        <v>387</v>
      </c>
      <c r="B309" s="2">
        <v>46374</v>
      </c>
      <c r="C309">
        <v>2026</v>
      </c>
      <c r="D309" t="s">
        <v>68</v>
      </c>
      <c r="E309" t="s">
        <v>557</v>
      </c>
      <c r="F309" t="s">
        <v>24</v>
      </c>
      <c r="G309" t="s">
        <v>25</v>
      </c>
      <c r="H309" t="s">
        <v>26</v>
      </c>
      <c r="I309" t="s">
        <v>37</v>
      </c>
      <c r="J309" t="s">
        <v>28</v>
      </c>
      <c r="K309" t="s">
        <v>26</v>
      </c>
      <c r="L309" s="3">
        <v>34600</v>
      </c>
      <c r="M309" s="3">
        <v>1943700</v>
      </c>
      <c r="N309" t="s">
        <v>29</v>
      </c>
      <c r="O309" t="s">
        <v>66</v>
      </c>
      <c r="P309" t="s">
        <v>31</v>
      </c>
      <c r="Q309" t="s">
        <v>33</v>
      </c>
      <c r="R309" t="s">
        <v>33</v>
      </c>
      <c r="S309" s="3">
        <v>7520600</v>
      </c>
      <c r="T309" t="str">
        <f>TEXT(tblTransactions[[#This Row],[Date]],"mmm")</f>
        <v>Dec</v>
      </c>
      <c r="U309">
        <f>MONTH(tblTransactions[[#This Row],[Date]])</f>
        <v>12</v>
      </c>
      <c r="V309" t="str">
        <f>"Q"&amp;ROUNDUP(MONTH(tblTransactions[[#This Row],[Date]])/3,0)</f>
        <v>Q4</v>
      </c>
    </row>
    <row r="310" spans="1:22" x14ac:dyDescent="0.25">
      <c r="A310" t="s">
        <v>388</v>
      </c>
      <c r="B310" s="2">
        <v>46375</v>
      </c>
      <c r="C310">
        <v>2026</v>
      </c>
      <c r="D310" t="s">
        <v>42</v>
      </c>
      <c r="E310" t="s">
        <v>556</v>
      </c>
      <c r="F310" t="s">
        <v>24</v>
      </c>
      <c r="G310" t="s">
        <v>54</v>
      </c>
      <c r="H310" t="s">
        <v>55</v>
      </c>
      <c r="I310" t="s">
        <v>37</v>
      </c>
      <c r="J310" t="s">
        <v>64</v>
      </c>
      <c r="K310" t="s">
        <v>55</v>
      </c>
      <c r="L310" s="3">
        <v>1077800</v>
      </c>
      <c r="M310" s="3">
        <v>933100</v>
      </c>
      <c r="N310" t="s">
        <v>29</v>
      </c>
      <c r="O310" t="s">
        <v>109</v>
      </c>
      <c r="P310" t="s">
        <v>31</v>
      </c>
      <c r="Q310" t="s">
        <v>32</v>
      </c>
      <c r="R310" t="s">
        <v>32</v>
      </c>
      <c r="S310" s="3">
        <v>6442800</v>
      </c>
      <c r="T310" t="str">
        <f>TEXT(tblTransactions[[#This Row],[Date]],"mmm")</f>
        <v>Dec</v>
      </c>
      <c r="U310">
        <f>MONTH(tblTransactions[[#This Row],[Date]])</f>
        <v>12</v>
      </c>
      <c r="V310" t="str">
        <f>"Q"&amp;ROUNDUP(MONTH(tblTransactions[[#This Row],[Date]])/3,0)</f>
        <v>Q4</v>
      </c>
    </row>
    <row r="311" spans="1:22" x14ac:dyDescent="0.25">
      <c r="A311" t="s">
        <v>389</v>
      </c>
      <c r="B311" s="2">
        <v>46376</v>
      </c>
      <c r="C311">
        <v>2026</v>
      </c>
      <c r="D311" t="s">
        <v>68</v>
      </c>
      <c r="E311" t="s">
        <v>554</v>
      </c>
      <c r="F311" t="s">
        <v>35</v>
      </c>
      <c r="G311" t="s">
        <v>36</v>
      </c>
      <c r="H311" t="s">
        <v>36</v>
      </c>
      <c r="I311" t="s">
        <v>56</v>
      </c>
      <c r="J311" t="s">
        <v>28</v>
      </c>
      <c r="K311" t="s">
        <v>36</v>
      </c>
      <c r="L311" s="3">
        <v>238100</v>
      </c>
      <c r="M311" s="3">
        <v>0</v>
      </c>
      <c r="N311" t="s">
        <v>58</v>
      </c>
      <c r="O311" t="s">
        <v>47</v>
      </c>
      <c r="P311" t="s">
        <v>31</v>
      </c>
      <c r="Q311" t="s">
        <v>32</v>
      </c>
      <c r="R311" t="s">
        <v>32</v>
      </c>
      <c r="S311" s="3">
        <v>6680900</v>
      </c>
      <c r="T311" t="str">
        <f>TEXT(tblTransactions[[#This Row],[Date]],"mmm")</f>
        <v>Dec</v>
      </c>
      <c r="U311">
        <f>MONTH(tblTransactions[[#This Row],[Date]])</f>
        <v>12</v>
      </c>
      <c r="V311" t="str">
        <f>"Q"&amp;ROUNDUP(MONTH(tblTransactions[[#This Row],[Date]])/3,0)</f>
        <v>Q4</v>
      </c>
    </row>
    <row r="312" spans="1:22" x14ac:dyDescent="0.25">
      <c r="A312" t="s">
        <v>390</v>
      </c>
      <c r="B312" s="2">
        <v>46377</v>
      </c>
      <c r="C312">
        <v>2026</v>
      </c>
      <c r="D312" t="s">
        <v>68</v>
      </c>
      <c r="E312" t="s">
        <v>555</v>
      </c>
      <c r="F312" t="s">
        <v>24</v>
      </c>
      <c r="G312" t="s">
        <v>107</v>
      </c>
      <c r="H312" t="s">
        <v>108</v>
      </c>
      <c r="I312" t="s">
        <v>56</v>
      </c>
      <c r="J312" t="s">
        <v>64</v>
      </c>
      <c r="K312" t="s">
        <v>108</v>
      </c>
      <c r="L312" s="3">
        <v>147200</v>
      </c>
      <c r="M312" s="3">
        <v>1076200</v>
      </c>
      <c r="N312" t="s">
        <v>29</v>
      </c>
      <c r="O312" t="s">
        <v>52</v>
      </c>
      <c r="P312" t="s">
        <v>31</v>
      </c>
      <c r="Q312" t="s">
        <v>33</v>
      </c>
      <c r="R312" t="s">
        <v>33</v>
      </c>
      <c r="S312" s="3">
        <v>6533700</v>
      </c>
      <c r="T312" t="str">
        <f>TEXT(tblTransactions[[#This Row],[Date]],"mmm")</f>
        <v>Dec</v>
      </c>
      <c r="U312">
        <f>MONTH(tblTransactions[[#This Row],[Date]])</f>
        <v>12</v>
      </c>
      <c r="V312" t="str">
        <f>"Q"&amp;ROUNDUP(MONTH(tblTransactions[[#This Row],[Date]])/3,0)</f>
        <v>Q4</v>
      </c>
    </row>
    <row r="313" spans="1:22" x14ac:dyDescent="0.25">
      <c r="A313" t="s">
        <v>391</v>
      </c>
      <c r="B313" s="2">
        <v>46378</v>
      </c>
      <c r="C313">
        <v>2026</v>
      </c>
      <c r="D313" t="s">
        <v>23</v>
      </c>
      <c r="E313" t="s">
        <v>552</v>
      </c>
      <c r="F313" t="s">
        <v>24</v>
      </c>
      <c r="G313" t="s">
        <v>43</v>
      </c>
      <c r="H313" t="s">
        <v>44</v>
      </c>
      <c r="I313" t="s">
        <v>27</v>
      </c>
      <c r="J313" t="s">
        <v>38</v>
      </c>
      <c r="K313" t="s">
        <v>44</v>
      </c>
      <c r="L313" s="3">
        <v>1673600</v>
      </c>
      <c r="M313" s="3">
        <v>145700</v>
      </c>
      <c r="N313" t="s">
        <v>39</v>
      </c>
      <c r="O313" t="s">
        <v>109</v>
      </c>
      <c r="P313" t="s">
        <v>31</v>
      </c>
      <c r="Q313" t="s">
        <v>33</v>
      </c>
      <c r="R313" t="s">
        <v>33</v>
      </c>
      <c r="S313" s="3">
        <v>4860100</v>
      </c>
      <c r="T313" t="str">
        <f>TEXT(tblTransactions[[#This Row],[Date]],"mmm")</f>
        <v>Dec</v>
      </c>
      <c r="U313">
        <f>MONTH(tblTransactions[[#This Row],[Date]])</f>
        <v>12</v>
      </c>
      <c r="V313" t="str">
        <f>"Q"&amp;ROUNDUP(MONTH(tblTransactions[[#This Row],[Date]])/3,0)</f>
        <v>Q4</v>
      </c>
    </row>
    <row r="314" spans="1:22" x14ac:dyDescent="0.25">
      <c r="A314" t="s">
        <v>392</v>
      </c>
      <c r="B314" s="2">
        <v>46379</v>
      </c>
      <c r="C314">
        <v>2026</v>
      </c>
      <c r="D314" t="s">
        <v>23</v>
      </c>
      <c r="E314" t="s">
        <v>555</v>
      </c>
      <c r="F314" t="s">
        <v>24</v>
      </c>
      <c r="G314" t="s">
        <v>43</v>
      </c>
      <c r="H314" t="s">
        <v>44</v>
      </c>
      <c r="I314" t="s">
        <v>45</v>
      </c>
      <c r="J314" t="s">
        <v>64</v>
      </c>
      <c r="K314" t="s">
        <v>44</v>
      </c>
      <c r="L314" s="3">
        <v>611700</v>
      </c>
      <c r="M314" s="3">
        <v>856800</v>
      </c>
      <c r="N314" t="s">
        <v>39</v>
      </c>
      <c r="O314" t="s">
        <v>52</v>
      </c>
      <c r="P314" t="s">
        <v>31</v>
      </c>
      <c r="Q314" t="s">
        <v>32</v>
      </c>
      <c r="R314" t="s">
        <v>33</v>
      </c>
      <c r="S314" s="3">
        <v>4248400</v>
      </c>
      <c r="T314" t="str">
        <f>TEXT(tblTransactions[[#This Row],[Date]],"mmm")</f>
        <v>Dec</v>
      </c>
      <c r="U314">
        <f>MONTH(tblTransactions[[#This Row],[Date]])</f>
        <v>12</v>
      </c>
      <c r="V314" t="str">
        <f>"Q"&amp;ROUNDUP(MONTH(tblTransactions[[#This Row],[Date]])/3,0)</f>
        <v>Q4</v>
      </c>
    </row>
    <row r="315" spans="1:22" x14ac:dyDescent="0.25">
      <c r="A315" t="s">
        <v>393</v>
      </c>
      <c r="B315" s="2">
        <v>46380</v>
      </c>
      <c r="C315">
        <v>2026</v>
      </c>
      <c r="D315" t="s">
        <v>68</v>
      </c>
      <c r="E315" t="s">
        <v>556</v>
      </c>
      <c r="F315" t="s">
        <v>35</v>
      </c>
      <c r="G315" t="s">
        <v>36</v>
      </c>
      <c r="H315" t="s">
        <v>36</v>
      </c>
      <c r="I315" t="s">
        <v>56</v>
      </c>
      <c r="J315" t="s">
        <v>38</v>
      </c>
      <c r="K315" t="s">
        <v>36</v>
      </c>
      <c r="L315" s="3">
        <v>945500</v>
      </c>
      <c r="M315" s="3">
        <v>0</v>
      </c>
      <c r="N315" t="s">
        <v>39</v>
      </c>
      <c r="O315" t="s">
        <v>47</v>
      </c>
      <c r="P315" t="s">
        <v>31</v>
      </c>
      <c r="Q315" t="s">
        <v>33</v>
      </c>
      <c r="R315" t="s">
        <v>33</v>
      </c>
      <c r="S315" s="3">
        <v>5193900</v>
      </c>
      <c r="T315" t="str">
        <f>TEXT(tblTransactions[[#This Row],[Date]],"mmm")</f>
        <v>Dec</v>
      </c>
      <c r="U315">
        <f>MONTH(tblTransactions[[#This Row],[Date]])</f>
        <v>12</v>
      </c>
      <c r="V315" t="str">
        <f>"Q"&amp;ROUNDUP(MONTH(tblTransactions[[#This Row],[Date]])/3,0)</f>
        <v>Q4</v>
      </c>
    </row>
    <row r="316" spans="1:22" x14ac:dyDescent="0.25">
      <c r="A316" t="s">
        <v>394</v>
      </c>
      <c r="B316" s="2">
        <v>46381</v>
      </c>
      <c r="C316">
        <v>2026</v>
      </c>
      <c r="D316" t="s">
        <v>23</v>
      </c>
      <c r="E316" t="s">
        <v>555</v>
      </c>
      <c r="F316" t="s">
        <v>35</v>
      </c>
      <c r="G316" t="s">
        <v>95</v>
      </c>
      <c r="H316" t="s">
        <v>96</v>
      </c>
      <c r="I316" t="s">
        <v>27</v>
      </c>
      <c r="J316" t="s">
        <v>78</v>
      </c>
      <c r="K316" t="s">
        <v>96</v>
      </c>
      <c r="L316" s="3">
        <v>7841600</v>
      </c>
      <c r="M316" s="3">
        <v>0</v>
      </c>
      <c r="N316" t="s">
        <v>39</v>
      </c>
      <c r="O316" t="s">
        <v>76</v>
      </c>
      <c r="P316" t="s">
        <v>31</v>
      </c>
      <c r="Q316" t="s">
        <v>33</v>
      </c>
      <c r="R316" t="s">
        <v>32</v>
      </c>
      <c r="S316" s="3">
        <v>13035500</v>
      </c>
      <c r="T316" t="str">
        <f>TEXT(tblTransactions[[#This Row],[Date]],"mmm")</f>
        <v>Dec</v>
      </c>
      <c r="U316">
        <f>MONTH(tblTransactions[[#This Row],[Date]])</f>
        <v>12</v>
      </c>
      <c r="V316" t="str">
        <f>"Q"&amp;ROUNDUP(MONTH(tblTransactions[[#This Row],[Date]])/3,0)</f>
        <v>Q4</v>
      </c>
    </row>
    <row r="317" spans="1:22" x14ac:dyDescent="0.25">
      <c r="A317" t="s">
        <v>395</v>
      </c>
      <c r="B317" s="2">
        <v>46382</v>
      </c>
      <c r="C317">
        <v>2026</v>
      </c>
      <c r="D317" t="s">
        <v>42</v>
      </c>
      <c r="E317" t="s">
        <v>556</v>
      </c>
      <c r="F317" t="s">
        <v>24</v>
      </c>
      <c r="G317" t="s">
        <v>62</v>
      </c>
      <c r="H317" t="s">
        <v>63</v>
      </c>
      <c r="I317" t="s">
        <v>37</v>
      </c>
      <c r="J317" t="s">
        <v>64</v>
      </c>
      <c r="K317" t="s">
        <v>63</v>
      </c>
      <c r="L317" s="3">
        <v>1504000</v>
      </c>
      <c r="M317" s="3">
        <v>1576200</v>
      </c>
      <c r="N317" t="s">
        <v>51</v>
      </c>
      <c r="O317" t="s">
        <v>60</v>
      </c>
      <c r="P317" t="s">
        <v>31</v>
      </c>
      <c r="Q317" t="s">
        <v>33</v>
      </c>
      <c r="R317" t="s">
        <v>33</v>
      </c>
      <c r="S317" s="3">
        <v>11531500</v>
      </c>
      <c r="T317" t="str">
        <f>TEXT(tblTransactions[[#This Row],[Date]],"mmm")</f>
        <v>Dec</v>
      </c>
      <c r="U317">
        <f>MONTH(tblTransactions[[#This Row],[Date]])</f>
        <v>12</v>
      </c>
      <c r="V317" t="str">
        <f>"Q"&amp;ROUNDUP(MONTH(tblTransactions[[#This Row],[Date]])/3,0)</f>
        <v>Q4</v>
      </c>
    </row>
    <row r="318" spans="1:22" x14ac:dyDescent="0.25">
      <c r="A318" t="s">
        <v>396</v>
      </c>
      <c r="B318" s="2">
        <v>46383</v>
      </c>
      <c r="C318">
        <v>2026</v>
      </c>
      <c r="D318" t="s">
        <v>42</v>
      </c>
      <c r="E318" t="s">
        <v>554</v>
      </c>
      <c r="F318" t="s">
        <v>35</v>
      </c>
      <c r="G318" t="s">
        <v>36</v>
      </c>
      <c r="H318" t="s">
        <v>36</v>
      </c>
      <c r="I318" t="s">
        <v>56</v>
      </c>
      <c r="J318" t="s">
        <v>92</v>
      </c>
      <c r="K318" t="s">
        <v>36</v>
      </c>
      <c r="L318" s="3">
        <v>3015800</v>
      </c>
      <c r="M318" s="3">
        <v>0</v>
      </c>
      <c r="N318" t="s">
        <v>39</v>
      </c>
      <c r="O318" t="s">
        <v>47</v>
      </c>
      <c r="P318" t="s">
        <v>31</v>
      </c>
      <c r="Q318" t="s">
        <v>33</v>
      </c>
      <c r="R318" t="s">
        <v>33</v>
      </c>
      <c r="S318" s="3">
        <v>14547300</v>
      </c>
      <c r="T318" t="str">
        <f>TEXT(tblTransactions[[#This Row],[Date]],"mmm")</f>
        <v>Dec</v>
      </c>
      <c r="U318">
        <f>MONTH(tblTransactions[[#This Row],[Date]])</f>
        <v>12</v>
      </c>
      <c r="V318" t="str">
        <f>"Q"&amp;ROUNDUP(MONTH(tblTransactions[[#This Row],[Date]])/3,0)</f>
        <v>Q4</v>
      </c>
    </row>
    <row r="319" spans="1:22" x14ac:dyDescent="0.25">
      <c r="A319" t="s">
        <v>397</v>
      </c>
      <c r="B319" s="2">
        <v>46384</v>
      </c>
      <c r="C319">
        <v>2026</v>
      </c>
      <c r="D319" t="s">
        <v>68</v>
      </c>
      <c r="E319" t="s">
        <v>555</v>
      </c>
      <c r="F319" t="s">
        <v>35</v>
      </c>
      <c r="G319" t="s">
        <v>49</v>
      </c>
      <c r="H319" t="s">
        <v>49</v>
      </c>
      <c r="I319" t="s">
        <v>42</v>
      </c>
      <c r="J319" t="s">
        <v>87</v>
      </c>
      <c r="K319" t="s">
        <v>49</v>
      </c>
      <c r="L319" s="3">
        <v>646100</v>
      </c>
      <c r="M319" s="3">
        <v>0</v>
      </c>
      <c r="N319" t="s">
        <v>29</v>
      </c>
      <c r="O319" t="s">
        <v>98</v>
      </c>
      <c r="P319" t="s">
        <v>31</v>
      </c>
      <c r="Q319" t="s">
        <v>33</v>
      </c>
      <c r="R319" t="s">
        <v>33</v>
      </c>
      <c r="S319" s="3">
        <v>15193400</v>
      </c>
      <c r="T319" t="str">
        <f>TEXT(tblTransactions[[#This Row],[Date]],"mmm")</f>
        <v>Dec</v>
      </c>
      <c r="U319">
        <f>MONTH(tblTransactions[[#This Row],[Date]])</f>
        <v>12</v>
      </c>
      <c r="V319" t="str">
        <f>"Q"&amp;ROUNDUP(MONTH(tblTransactions[[#This Row],[Date]])/3,0)</f>
        <v>Q4</v>
      </c>
    </row>
    <row r="320" spans="1:22" x14ac:dyDescent="0.25">
      <c r="A320" t="s">
        <v>398</v>
      </c>
      <c r="B320" s="2">
        <v>46385</v>
      </c>
      <c r="C320">
        <v>2026</v>
      </c>
      <c r="D320" t="s">
        <v>68</v>
      </c>
      <c r="E320" t="s">
        <v>553</v>
      </c>
      <c r="F320" t="s">
        <v>24</v>
      </c>
      <c r="G320" t="s">
        <v>62</v>
      </c>
      <c r="H320" t="s">
        <v>63</v>
      </c>
      <c r="I320" t="s">
        <v>42</v>
      </c>
      <c r="J320" t="s">
        <v>28</v>
      </c>
      <c r="K320" t="s">
        <v>63</v>
      </c>
      <c r="L320" s="3">
        <v>1461400</v>
      </c>
      <c r="M320" s="3">
        <v>1116700</v>
      </c>
      <c r="N320" t="s">
        <v>39</v>
      </c>
      <c r="O320" t="s">
        <v>109</v>
      </c>
      <c r="P320" t="s">
        <v>31</v>
      </c>
      <c r="Q320" t="s">
        <v>33</v>
      </c>
      <c r="R320" t="s">
        <v>33</v>
      </c>
      <c r="S320" s="3">
        <v>13732000</v>
      </c>
      <c r="T320" t="str">
        <f>TEXT(tblTransactions[[#This Row],[Date]],"mmm")</f>
        <v>Dec</v>
      </c>
      <c r="U320">
        <f>MONTH(tblTransactions[[#This Row],[Date]])</f>
        <v>12</v>
      </c>
      <c r="V320" t="str">
        <f>"Q"&amp;ROUNDUP(MONTH(tblTransactions[[#This Row],[Date]])/3,0)</f>
        <v>Q4</v>
      </c>
    </row>
    <row r="321" spans="1:22" x14ac:dyDescent="0.25">
      <c r="A321" t="s">
        <v>399</v>
      </c>
      <c r="B321" s="2">
        <v>46386</v>
      </c>
      <c r="C321">
        <v>2026</v>
      </c>
      <c r="D321" t="s">
        <v>42</v>
      </c>
      <c r="E321" t="s">
        <v>554</v>
      </c>
      <c r="F321" t="s">
        <v>24</v>
      </c>
      <c r="G321" t="s">
        <v>74</v>
      </c>
      <c r="H321" t="s">
        <v>75</v>
      </c>
      <c r="I321" t="s">
        <v>50</v>
      </c>
      <c r="J321" t="s">
        <v>46</v>
      </c>
      <c r="K321" t="s">
        <v>75</v>
      </c>
      <c r="L321" s="3">
        <v>25200</v>
      </c>
      <c r="M321" s="3">
        <v>927100</v>
      </c>
      <c r="N321" t="s">
        <v>29</v>
      </c>
      <c r="O321" t="s">
        <v>30</v>
      </c>
      <c r="P321" t="s">
        <v>31</v>
      </c>
      <c r="Q321" t="s">
        <v>33</v>
      </c>
      <c r="R321" t="s">
        <v>33</v>
      </c>
      <c r="S321" s="3">
        <v>13706800</v>
      </c>
      <c r="T321" t="str">
        <f>TEXT(tblTransactions[[#This Row],[Date]],"mmm")</f>
        <v>Dec</v>
      </c>
      <c r="U321">
        <f>MONTH(tblTransactions[[#This Row],[Date]])</f>
        <v>12</v>
      </c>
      <c r="V321" t="str">
        <f>"Q"&amp;ROUNDUP(MONTH(tblTransactions[[#This Row],[Date]])/3,0)</f>
        <v>Q4</v>
      </c>
    </row>
    <row r="322" spans="1:22" x14ac:dyDescent="0.25">
      <c r="A322" t="s">
        <v>400</v>
      </c>
      <c r="B322" s="2">
        <v>46387</v>
      </c>
      <c r="C322">
        <v>2026</v>
      </c>
      <c r="D322" t="s">
        <v>42</v>
      </c>
      <c r="E322" t="s">
        <v>553</v>
      </c>
      <c r="F322" t="s">
        <v>24</v>
      </c>
      <c r="G322" t="s">
        <v>62</v>
      </c>
      <c r="H322" t="s">
        <v>63</v>
      </c>
      <c r="I322" t="s">
        <v>56</v>
      </c>
      <c r="J322" t="s">
        <v>78</v>
      </c>
      <c r="K322" t="s">
        <v>63</v>
      </c>
      <c r="L322" s="3">
        <v>1753700</v>
      </c>
      <c r="M322" s="3">
        <v>1788700</v>
      </c>
      <c r="N322" t="s">
        <v>39</v>
      </c>
      <c r="O322" t="s">
        <v>40</v>
      </c>
      <c r="P322" t="s">
        <v>31</v>
      </c>
      <c r="Q322" t="s">
        <v>33</v>
      </c>
      <c r="R322" t="s">
        <v>32</v>
      </c>
      <c r="S322" s="3">
        <v>11953100</v>
      </c>
      <c r="T322" t="str">
        <f>TEXT(tblTransactions[[#This Row],[Date]],"mmm")</f>
        <v>Dec</v>
      </c>
      <c r="U322">
        <f>MONTH(tblTransactions[[#This Row],[Date]])</f>
        <v>12</v>
      </c>
      <c r="V322" t="str">
        <f>"Q"&amp;ROUNDUP(MONTH(tblTransactions[[#This Row],[Date]])/3,0)</f>
        <v>Q4</v>
      </c>
    </row>
    <row r="323" spans="1:22" x14ac:dyDescent="0.25">
      <c r="A323" t="s">
        <v>401</v>
      </c>
      <c r="B323" s="2">
        <v>46023</v>
      </c>
      <c r="C323">
        <v>2026</v>
      </c>
      <c r="D323" t="s">
        <v>23</v>
      </c>
      <c r="E323" t="s">
        <v>554</v>
      </c>
      <c r="F323" t="s">
        <v>24</v>
      </c>
      <c r="G323" t="s">
        <v>43</v>
      </c>
      <c r="H323" t="s">
        <v>44</v>
      </c>
      <c r="I323" t="s">
        <v>42</v>
      </c>
      <c r="J323" t="s">
        <v>92</v>
      </c>
      <c r="K323" t="s">
        <v>44</v>
      </c>
      <c r="L323" s="3">
        <v>674200</v>
      </c>
      <c r="M323" s="3">
        <v>1039100</v>
      </c>
      <c r="N323" t="s">
        <v>58</v>
      </c>
      <c r="O323" t="s">
        <v>98</v>
      </c>
      <c r="P323" t="s">
        <v>31</v>
      </c>
      <c r="Q323" t="s">
        <v>32</v>
      </c>
      <c r="R323" t="s">
        <v>32</v>
      </c>
      <c r="S323" s="3">
        <v>11278900</v>
      </c>
      <c r="T323" t="str">
        <f>TEXT(tblTransactions[[#This Row],[Date]],"mmm")</f>
        <v>Jan</v>
      </c>
      <c r="U323">
        <f>MONTH(tblTransactions[[#This Row],[Date]])</f>
        <v>1</v>
      </c>
      <c r="V323" t="str">
        <f>"Q"&amp;ROUNDUP(MONTH(tblTransactions[[#This Row],[Date]])/3,0)</f>
        <v>Q1</v>
      </c>
    </row>
    <row r="324" spans="1:22" x14ac:dyDescent="0.25">
      <c r="A324" t="s">
        <v>402</v>
      </c>
      <c r="B324" s="2">
        <v>46024</v>
      </c>
      <c r="C324">
        <v>2026</v>
      </c>
      <c r="D324" t="s">
        <v>23</v>
      </c>
      <c r="E324" t="s">
        <v>555</v>
      </c>
      <c r="F324" t="s">
        <v>24</v>
      </c>
      <c r="G324" t="s">
        <v>43</v>
      </c>
      <c r="H324" t="s">
        <v>44</v>
      </c>
      <c r="I324" t="s">
        <v>56</v>
      </c>
      <c r="J324" t="s">
        <v>87</v>
      </c>
      <c r="K324" t="s">
        <v>44</v>
      </c>
      <c r="L324" s="3">
        <v>647800</v>
      </c>
      <c r="M324" s="3">
        <v>440300</v>
      </c>
      <c r="N324" t="s">
        <v>29</v>
      </c>
      <c r="O324" t="s">
        <v>72</v>
      </c>
      <c r="P324" t="s">
        <v>31</v>
      </c>
      <c r="Q324" t="s">
        <v>33</v>
      </c>
      <c r="R324" t="s">
        <v>33</v>
      </c>
      <c r="S324" s="3">
        <v>10631100</v>
      </c>
      <c r="T324" t="str">
        <f>TEXT(tblTransactions[[#This Row],[Date]],"mmm")</f>
        <v>Jan</v>
      </c>
      <c r="U324">
        <f>MONTH(tblTransactions[[#This Row],[Date]])</f>
        <v>1</v>
      </c>
      <c r="V324" t="str">
        <f>"Q"&amp;ROUNDUP(MONTH(tblTransactions[[#This Row],[Date]])/3,0)</f>
        <v>Q1</v>
      </c>
    </row>
    <row r="325" spans="1:22" x14ac:dyDescent="0.25">
      <c r="A325" t="s">
        <v>403</v>
      </c>
      <c r="B325" s="2">
        <v>46025</v>
      </c>
      <c r="C325">
        <v>2026</v>
      </c>
      <c r="D325" t="s">
        <v>68</v>
      </c>
      <c r="E325" t="s">
        <v>552</v>
      </c>
      <c r="F325" t="s">
        <v>24</v>
      </c>
      <c r="G325" t="s">
        <v>54</v>
      </c>
      <c r="H325" t="s">
        <v>55</v>
      </c>
      <c r="I325" t="s">
        <v>50</v>
      </c>
      <c r="J325" t="s">
        <v>46</v>
      </c>
      <c r="K325" t="s">
        <v>55</v>
      </c>
      <c r="L325" s="3">
        <v>1718900</v>
      </c>
      <c r="M325" s="3">
        <v>1978100</v>
      </c>
      <c r="N325" t="s">
        <v>51</v>
      </c>
      <c r="O325" t="s">
        <v>72</v>
      </c>
      <c r="P325" t="s">
        <v>31</v>
      </c>
      <c r="Q325" t="s">
        <v>32</v>
      </c>
      <c r="R325" t="s">
        <v>33</v>
      </c>
      <c r="S325" s="3">
        <v>8912200</v>
      </c>
      <c r="T325" t="str">
        <f>TEXT(tblTransactions[[#This Row],[Date]],"mmm")</f>
        <v>Jan</v>
      </c>
      <c r="U325">
        <f>MONTH(tblTransactions[[#This Row],[Date]])</f>
        <v>1</v>
      </c>
      <c r="V325" t="str">
        <f>"Q"&amp;ROUNDUP(MONTH(tblTransactions[[#This Row],[Date]])/3,0)</f>
        <v>Q1</v>
      </c>
    </row>
    <row r="326" spans="1:22" x14ac:dyDescent="0.25">
      <c r="A326" t="s">
        <v>404</v>
      </c>
      <c r="B326" s="2">
        <v>46026</v>
      </c>
      <c r="C326">
        <v>2026</v>
      </c>
      <c r="D326" t="s">
        <v>23</v>
      </c>
      <c r="E326" t="s">
        <v>556</v>
      </c>
      <c r="F326" t="s">
        <v>24</v>
      </c>
      <c r="G326" t="s">
        <v>107</v>
      </c>
      <c r="H326" t="s">
        <v>108</v>
      </c>
      <c r="I326" t="s">
        <v>27</v>
      </c>
      <c r="J326" t="s">
        <v>92</v>
      </c>
      <c r="K326" t="s">
        <v>108</v>
      </c>
      <c r="L326" s="3">
        <v>1846100</v>
      </c>
      <c r="M326" s="3">
        <v>370900</v>
      </c>
      <c r="N326" t="s">
        <v>51</v>
      </c>
      <c r="O326" t="s">
        <v>30</v>
      </c>
      <c r="P326" t="s">
        <v>31</v>
      </c>
      <c r="Q326" t="s">
        <v>32</v>
      </c>
      <c r="R326" t="s">
        <v>33</v>
      </c>
      <c r="S326" s="3">
        <v>7066100</v>
      </c>
      <c r="T326" t="str">
        <f>TEXT(tblTransactions[[#This Row],[Date]],"mmm")</f>
        <v>Jan</v>
      </c>
      <c r="U326">
        <f>MONTH(tblTransactions[[#This Row],[Date]])</f>
        <v>1</v>
      </c>
      <c r="V326" t="str">
        <f>"Q"&amp;ROUNDUP(MONTH(tblTransactions[[#This Row],[Date]])/3,0)</f>
        <v>Q1</v>
      </c>
    </row>
    <row r="327" spans="1:22" x14ac:dyDescent="0.25">
      <c r="A327" t="s">
        <v>405</v>
      </c>
      <c r="B327" s="2">
        <v>46027</v>
      </c>
      <c r="C327">
        <v>2026</v>
      </c>
      <c r="D327" t="s">
        <v>42</v>
      </c>
      <c r="E327" t="s">
        <v>555</v>
      </c>
      <c r="F327" t="s">
        <v>24</v>
      </c>
      <c r="G327" t="s">
        <v>74</v>
      </c>
      <c r="H327" t="s">
        <v>75</v>
      </c>
      <c r="I327" t="s">
        <v>45</v>
      </c>
      <c r="J327" t="s">
        <v>46</v>
      </c>
      <c r="K327" t="s">
        <v>75</v>
      </c>
      <c r="L327" s="3">
        <v>1775700</v>
      </c>
      <c r="M327" s="3">
        <v>1299100</v>
      </c>
      <c r="N327" t="s">
        <v>58</v>
      </c>
      <c r="O327" t="s">
        <v>30</v>
      </c>
      <c r="P327" t="s">
        <v>31</v>
      </c>
      <c r="Q327" t="s">
        <v>33</v>
      </c>
      <c r="R327" t="s">
        <v>33</v>
      </c>
      <c r="S327" s="3">
        <v>5290400</v>
      </c>
      <c r="T327" t="str">
        <f>TEXT(tblTransactions[[#This Row],[Date]],"mmm")</f>
        <v>Jan</v>
      </c>
      <c r="U327">
        <f>MONTH(tblTransactions[[#This Row],[Date]])</f>
        <v>1</v>
      </c>
      <c r="V327" t="str">
        <f>"Q"&amp;ROUNDUP(MONTH(tblTransactions[[#This Row],[Date]])/3,0)</f>
        <v>Q1</v>
      </c>
    </row>
    <row r="328" spans="1:22" x14ac:dyDescent="0.25">
      <c r="A328" t="s">
        <v>406</v>
      </c>
      <c r="B328" s="2">
        <v>46028</v>
      </c>
      <c r="C328">
        <v>2026</v>
      </c>
      <c r="D328" t="s">
        <v>23</v>
      </c>
      <c r="E328" t="s">
        <v>554</v>
      </c>
      <c r="F328" t="s">
        <v>35</v>
      </c>
      <c r="G328" t="s">
        <v>36</v>
      </c>
      <c r="H328" t="s">
        <v>36</v>
      </c>
      <c r="I328" t="s">
        <v>56</v>
      </c>
      <c r="J328" t="s">
        <v>87</v>
      </c>
      <c r="K328" t="s">
        <v>36</v>
      </c>
      <c r="L328" s="3">
        <v>2256500</v>
      </c>
      <c r="M328" s="3">
        <v>0</v>
      </c>
      <c r="N328" t="s">
        <v>29</v>
      </c>
      <c r="O328" t="s">
        <v>66</v>
      </c>
      <c r="P328" t="s">
        <v>31</v>
      </c>
      <c r="Q328" t="s">
        <v>33</v>
      </c>
      <c r="R328" t="s">
        <v>33</v>
      </c>
      <c r="S328" s="3">
        <v>7546900</v>
      </c>
      <c r="T328" t="str">
        <f>TEXT(tblTransactions[[#This Row],[Date]],"mmm")</f>
        <v>Jan</v>
      </c>
      <c r="U328">
        <f>MONTH(tblTransactions[[#This Row],[Date]])</f>
        <v>1</v>
      </c>
      <c r="V328" t="str">
        <f>"Q"&amp;ROUNDUP(MONTH(tblTransactions[[#This Row],[Date]])/3,0)</f>
        <v>Q1</v>
      </c>
    </row>
    <row r="329" spans="1:22" x14ac:dyDescent="0.25">
      <c r="A329" t="s">
        <v>407</v>
      </c>
      <c r="B329" s="2">
        <v>46029</v>
      </c>
      <c r="C329">
        <v>2026</v>
      </c>
      <c r="D329" t="s">
        <v>23</v>
      </c>
      <c r="E329" t="s">
        <v>554</v>
      </c>
      <c r="F329" t="s">
        <v>24</v>
      </c>
      <c r="G329" t="s">
        <v>25</v>
      </c>
      <c r="H329" t="s">
        <v>26</v>
      </c>
      <c r="I329" t="s">
        <v>37</v>
      </c>
      <c r="J329" t="s">
        <v>92</v>
      </c>
      <c r="K329" t="s">
        <v>26</v>
      </c>
      <c r="L329" s="3">
        <v>1640500</v>
      </c>
      <c r="M329" s="3">
        <v>1268000</v>
      </c>
      <c r="N329" t="s">
        <v>51</v>
      </c>
      <c r="O329" t="s">
        <v>52</v>
      </c>
      <c r="P329" t="s">
        <v>31</v>
      </c>
      <c r="Q329" t="s">
        <v>33</v>
      </c>
      <c r="R329" t="s">
        <v>33</v>
      </c>
      <c r="S329" s="3">
        <v>5906400</v>
      </c>
      <c r="T329" t="str">
        <f>TEXT(tblTransactions[[#This Row],[Date]],"mmm")</f>
        <v>Jan</v>
      </c>
      <c r="U329">
        <f>MONTH(tblTransactions[[#This Row],[Date]])</f>
        <v>1</v>
      </c>
      <c r="V329" t="str">
        <f>"Q"&amp;ROUNDUP(MONTH(tblTransactions[[#This Row],[Date]])/3,0)</f>
        <v>Q1</v>
      </c>
    </row>
    <row r="330" spans="1:22" x14ac:dyDescent="0.25">
      <c r="A330" t="s">
        <v>408</v>
      </c>
      <c r="B330" s="2">
        <v>46030</v>
      </c>
      <c r="C330">
        <v>2026</v>
      </c>
      <c r="D330" t="s">
        <v>68</v>
      </c>
      <c r="E330" t="s">
        <v>554</v>
      </c>
      <c r="F330" t="s">
        <v>35</v>
      </c>
      <c r="G330" t="s">
        <v>80</v>
      </c>
      <c r="H330" t="s">
        <v>81</v>
      </c>
      <c r="I330" t="s">
        <v>50</v>
      </c>
      <c r="J330" t="s">
        <v>87</v>
      </c>
      <c r="K330" t="s">
        <v>81</v>
      </c>
      <c r="L330" s="3">
        <v>2334100</v>
      </c>
      <c r="M330" s="3">
        <v>0</v>
      </c>
      <c r="N330" t="s">
        <v>39</v>
      </c>
      <c r="O330" t="s">
        <v>66</v>
      </c>
      <c r="P330" t="s">
        <v>31</v>
      </c>
      <c r="Q330" t="s">
        <v>32</v>
      </c>
      <c r="R330" t="s">
        <v>33</v>
      </c>
      <c r="S330" s="3">
        <v>8240500</v>
      </c>
      <c r="T330" t="str">
        <f>TEXT(tblTransactions[[#This Row],[Date]],"mmm")</f>
        <v>Jan</v>
      </c>
      <c r="U330">
        <f>MONTH(tblTransactions[[#This Row],[Date]])</f>
        <v>1</v>
      </c>
      <c r="V330" t="str">
        <f>"Q"&amp;ROUNDUP(MONTH(tblTransactions[[#This Row],[Date]])/3,0)</f>
        <v>Q1</v>
      </c>
    </row>
    <row r="331" spans="1:22" x14ac:dyDescent="0.25">
      <c r="A331" t="s">
        <v>409</v>
      </c>
      <c r="B331" s="2">
        <v>46031</v>
      </c>
      <c r="C331">
        <v>2026</v>
      </c>
      <c r="D331" t="s">
        <v>23</v>
      </c>
      <c r="E331" t="s">
        <v>555</v>
      </c>
      <c r="F331" t="s">
        <v>24</v>
      </c>
      <c r="G331" t="s">
        <v>54</v>
      </c>
      <c r="H331" t="s">
        <v>55</v>
      </c>
      <c r="I331" t="s">
        <v>50</v>
      </c>
      <c r="J331" t="s">
        <v>78</v>
      </c>
      <c r="K331" t="s">
        <v>55</v>
      </c>
      <c r="L331" s="3">
        <v>1867300</v>
      </c>
      <c r="M331" s="3">
        <v>1970000</v>
      </c>
      <c r="N331" t="s">
        <v>39</v>
      </c>
      <c r="O331" t="s">
        <v>47</v>
      </c>
      <c r="P331" t="s">
        <v>31</v>
      </c>
      <c r="Q331" t="s">
        <v>33</v>
      </c>
      <c r="R331" t="s">
        <v>32</v>
      </c>
      <c r="S331" s="3">
        <v>6373200</v>
      </c>
      <c r="T331" t="str">
        <f>TEXT(tblTransactions[[#This Row],[Date]],"mmm")</f>
        <v>Jan</v>
      </c>
      <c r="U331">
        <f>MONTH(tblTransactions[[#This Row],[Date]])</f>
        <v>1</v>
      </c>
      <c r="V331" t="str">
        <f>"Q"&amp;ROUNDUP(MONTH(tblTransactions[[#This Row],[Date]])/3,0)</f>
        <v>Q1</v>
      </c>
    </row>
    <row r="332" spans="1:22" x14ac:dyDescent="0.25">
      <c r="A332" t="s">
        <v>410</v>
      </c>
      <c r="B332" s="2">
        <v>46032</v>
      </c>
      <c r="C332">
        <v>2026</v>
      </c>
      <c r="D332" t="s">
        <v>68</v>
      </c>
      <c r="E332" t="s">
        <v>556</v>
      </c>
      <c r="F332" t="s">
        <v>24</v>
      </c>
      <c r="G332" t="s">
        <v>54</v>
      </c>
      <c r="H332" t="s">
        <v>55</v>
      </c>
      <c r="I332" t="s">
        <v>45</v>
      </c>
      <c r="J332" t="s">
        <v>38</v>
      </c>
      <c r="K332" t="s">
        <v>55</v>
      </c>
      <c r="L332" s="3">
        <v>1574600</v>
      </c>
      <c r="M332" s="3">
        <v>1288700</v>
      </c>
      <c r="N332" t="s">
        <v>51</v>
      </c>
      <c r="O332" t="s">
        <v>60</v>
      </c>
      <c r="P332" t="s">
        <v>31</v>
      </c>
      <c r="Q332" t="s">
        <v>33</v>
      </c>
      <c r="R332" t="s">
        <v>33</v>
      </c>
      <c r="S332" s="3">
        <v>4798600</v>
      </c>
      <c r="T332" t="str">
        <f>TEXT(tblTransactions[[#This Row],[Date]],"mmm")</f>
        <v>Jan</v>
      </c>
      <c r="U332">
        <f>MONTH(tblTransactions[[#This Row],[Date]])</f>
        <v>1</v>
      </c>
      <c r="V332" t="str">
        <f>"Q"&amp;ROUNDUP(MONTH(tblTransactions[[#This Row],[Date]])/3,0)</f>
        <v>Q1</v>
      </c>
    </row>
    <row r="333" spans="1:22" x14ac:dyDescent="0.25">
      <c r="A333" t="s">
        <v>411</v>
      </c>
      <c r="B333" s="2">
        <v>46033</v>
      </c>
      <c r="C333">
        <v>2026</v>
      </c>
      <c r="D333" t="s">
        <v>68</v>
      </c>
      <c r="E333" t="s">
        <v>555</v>
      </c>
      <c r="F333" t="s">
        <v>24</v>
      </c>
      <c r="G333" t="s">
        <v>101</v>
      </c>
      <c r="H333" t="s">
        <v>102</v>
      </c>
      <c r="I333" t="s">
        <v>42</v>
      </c>
      <c r="J333" t="s">
        <v>92</v>
      </c>
      <c r="K333" t="s">
        <v>102</v>
      </c>
      <c r="L333" s="3">
        <v>1471200</v>
      </c>
      <c r="M333" s="3">
        <v>1849900</v>
      </c>
      <c r="N333" t="s">
        <v>51</v>
      </c>
      <c r="O333" t="s">
        <v>109</v>
      </c>
      <c r="P333" t="s">
        <v>31</v>
      </c>
      <c r="Q333" t="s">
        <v>33</v>
      </c>
      <c r="R333" t="s">
        <v>32</v>
      </c>
      <c r="S333" s="3">
        <v>3327400</v>
      </c>
      <c r="T333" t="str">
        <f>TEXT(tblTransactions[[#This Row],[Date]],"mmm")</f>
        <v>Jan</v>
      </c>
      <c r="U333">
        <f>MONTH(tblTransactions[[#This Row],[Date]])</f>
        <v>1</v>
      </c>
      <c r="V333" t="str">
        <f>"Q"&amp;ROUNDUP(MONTH(tblTransactions[[#This Row],[Date]])/3,0)</f>
        <v>Q1</v>
      </c>
    </row>
    <row r="334" spans="1:22" x14ac:dyDescent="0.25">
      <c r="A334" t="s">
        <v>412</v>
      </c>
      <c r="B334" s="2">
        <v>46035</v>
      </c>
      <c r="C334">
        <v>2026</v>
      </c>
      <c r="D334" t="s">
        <v>23</v>
      </c>
      <c r="E334" t="s">
        <v>553</v>
      </c>
      <c r="F334" t="s">
        <v>24</v>
      </c>
      <c r="G334" t="s">
        <v>70</v>
      </c>
      <c r="H334" t="s">
        <v>71</v>
      </c>
      <c r="I334" t="s">
        <v>37</v>
      </c>
      <c r="J334" t="s">
        <v>92</v>
      </c>
      <c r="K334" t="s">
        <v>71</v>
      </c>
      <c r="L334" s="3">
        <v>412700</v>
      </c>
      <c r="M334" s="3">
        <v>1802800</v>
      </c>
      <c r="N334" t="s">
        <v>51</v>
      </c>
      <c r="O334" t="s">
        <v>30</v>
      </c>
      <c r="P334" t="s">
        <v>31</v>
      </c>
      <c r="Q334" t="s">
        <v>33</v>
      </c>
      <c r="R334" t="s">
        <v>33</v>
      </c>
      <c r="S334" s="3">
        <v>2914700</v>
      </c>
      <c r="T334" t="str">
        <f>TEXT(tblTransactions[[#This Row],[Date]],"mmm")</f>
        <v>Jan</v>
      </c>
      <c r="U334">
        <f>MONTH(tblTransactions[[#This Row],[Date]])</f>
        <v>1</v>
      </c>
      <c r="V334" t="str">
        <f>"Q"&amp;ROUNDUP(MONTH(tblTransactions[[#This Row],[Date]])/3,0)</f>
        <v>Q1</v>
      </c>
    </row>
    <row r="335" spans="1:22" x14ac:dyDescent="0.25">
      <c r="A335" t="s">
        <v>413</v>
      </c>
      <c r="B335" s="2">
        <v>46036</v>
      </c>
      <c r="C335">
        <v>2026</v>
      </c>
      <c r="D335" t="s">
        <v>23</v>
      </c>
      <c r="E335" t="s">
        <v>553</v>
      </c>
      <c r="F335" t="s">
        <v>24</v>
      </c>
      <c r="G335" t="s">
        <v>107</v>
      </c>
      <c r="H335" t="s">
        <v>108</v>
      </c>
      <c r="I335" t="s">
        <v>42</v>
      </c>
      <c r="J335" t="s">
        <v>57</v>
      </c>
      <c r="K335" t="s">
        <v>108</v>
      </c>
      <c r="L335" s="3">
        <v>1320600</v>
      </c>
      <c r="M335" s="3">
        <v>1505100</v>
      </c>
      <c r="N335" t="s">
        <v>29</v>
      </c>
      <c r="O335" t="s">
        <v>52</v>
      </c>
      <c r="P335" t="s">
        <v>31</v>
      </c>
      <c r="Q335" t="s">
        <v>33</v>
      </c>
      <c r="R335" t="s">
        <v>33</v>
      </c>
      <c r="S335" s="3">
        <v>1594100</v>
      </c>
      <c r="T335" t="str">
        <f>TEXT(tblTransactions[[#This Row],[Date]],"mmm")</f>
        <v>Jan</v>
      </c>
      <c r="U335">
        <f>MONTH(tblTransactions[[#This Row],[Date]])</f>
        <v>1</v>
      </c>
      <c r="V335" t="str">
        <f>"Q"&amp;ROUNDUP(MONTH(tblTransactions[[#This Row],[Date]])/3,0)</f>
        <v>Q1</v>
      </c>
    </row>
    <row r="336" spans="1:22" x14ac:dyDescent="0.25">
      <c r="A336" t="s">
        <v>414</v>
      </c>
      <c r="B336" s="2">
        <v>46037</v>
      </c>
      <c r="C336">
        <v>2026</v>
      </c>
      <c r="D336" t="s">
        <v>23</v>
      </c>
      <c r="E336" t="s">
        <v>553</v>
      </c>
      <c r="F336" t="s">
        <v>24</v>
      </c>
      <c r="G336" t="s">
        <v>62</v>
      </c>
      <c r="H336" t="s">
        <v>63</v>
      </c>
      <c r="I336" t="s">
        <v>50</v>
      </c>
      <c r="J336" t="s">
        <v>92</v>
      </c>
      <c r="K336" t="s">
        <v>63</v>
      </c>
      <c r="L336" s="3">
        <v>791900</v>
      </c>
      <c r="M336" s="3">
        <v>1929100</v>
      </c>
      <c r="N336" t="s">
        <v>39</v>
      </c>
      <c r="O336" t="s">
        <v>109</v>
      </c>
      <c r="P336" t="s">
        <v>31</v>
      </c>
      <c r="Q336" t="s">
        <v>33</v>
      </c>
      <c r="R336" t="s">
        <v>33</v>
      </c>
      <c r="S336" s="3">
        <v>802200</v>
      </c>
      <c r="T336" t="str">
        <f>TEXT(tblTransactions[[#This Row],[Date]],"mmm")</f>
        <v>Jan</v>
      </c>
      <c r="U336">
        <f>MONTH(tblTransactions[[#This Row],[Date]])</f>
        <v>1</v>
      </c>
      <c r="V336" t="str">
        <f>"Q"&amp;ROUNDUP(MONTH(tblTransactions[[#This Row],[Date]])/3,0)</f>
        <v>Q1</v>
      </c>
    </row>
    <row r="337" spans="1:22" x14ac:dyDescent="0.25">
      <c r="A337" t="s">
        <v>415</v>
      </c>
      <c r="B337" s="2">
        <v>46038</v>
      </c>
      <c r="C337">
        <v>2026</v>
      </c>
      <c r="D337" t="s">
        <v>42</v>
      </c>
      <c r="E337" t="s">
        <v>556</v>
      </c>
      <c r="F337" t="s">
        <v>24</v>
      </c>
      <c r="G337" t="s">
        <v>25</v>
      </c>
      <c r="H337" t="s">
        <v>26</v>
      </c>
      <c r="I337" t="s">
        <v>37</v>
      </c>
      <c r="J337" t="s">
        <v>57</v>
      </c>
      <c r="K337" t="s">
        <v>26</v>
      </c>
      <c r="L337" s="3">
        <v>1315400</v>
      </c>
      <c r="M337" s="3">
        <v>1337800</v>
      </c>
      <c r="N337" t="s">
        <v>58</v>
      </c>
      <c r="O337" t="s">
        <v>47</v>
      </c>
      <c r="P337" t="s">
        <v>31</v>
      </c>
      <c r="Q337" t="s">
        <v>33</v>
      </c>
      <c r="R337" t="s">
        <v>33</v>
      </c>
      <c r="S337" s="3">
        <v>-513200</v>
      </c>
      <c r="T337" t="str">
        <f>TEXT(tblTransactions[[#This Row],[Date]],"mmm")</f>
        <v>Jan</v>
      </c>
      <c r="U337">
        <f>MONTH(tblTransactions[[#This Row],[Date]])</f>
        <v>1</v>
      </c>
      <c r="V337" t="str">
        <f>"Q"&amp;ROUNDUP(MONTH(tblTransactions[[#This Row],[Date]])/3,0)</f>
        <v>Q1</v>
      </c>
    </row>
    <row r="338" spans="1:22" x14ac:dyDescent="0.25">
      <c r="A338" t="s">
        <v>416</v>
      </c>
      <c r="B338" s="2">
        <v>46039</v>
      </c>
      <c r="C338">
        <v>2026</v>
      </c>
      <c r="D338" t="s">
        <v>68</v>
      </c>
      <c r="E338" t="s">
        <v>553</v>
      </c>
      <c r="F338" t="s">
        <v>35</v>
      </c>
      <c r="G338" t="s">
        <v>80</v>
      </c>
      <c r="H338" t="s">
        <v>81</v>
      </c>
      <c r="I338" t="s">
        <v>37</v>
      </c>
      <c r="J338" t="s">
        <v>92</v>
      </c>
      <c r="K338" t="s">
        <v>81</v>
      </c>
      <c r="L338" s="3">
        <v>7348200</v>
      </c>
      <c r="M338" s="3">
        <v>0</v>
      </c>
      <c r="N338" t="s">
        <v>29</v>
      </c>
      <c r="O338" t="s">
        <v>60</v>
      </c>
      <c r="P338" t="s">
        <v>31</v>
      </c>
      <c r="Q338" t="s">
        <v>33</v>
      </c>
      <c r="R338" t="s">
        <v>33</v>
      </c>
      <c r="S338" s="3">
        <v>6835000</v>
      </c>
      <c r="T338" t="str">
        <f>TEXT(tblTransactions[[#This Row],[Date]],"mmm")</f>
        <v>Jan</v>
      </c>
      <c r="U338">
        <f>MONTH(tblTransactions[[#This Row],[Date]])</f>
        <v>1</v>
      </c>
      <c r="V338" t="str">
        <f>"Q"&amp;ROUNDUP(MONTH(tblTransactions[[#This Row],[Date]])/3,0)</f>
        <v>Q1</v>
      </c>
    </row>
    <row r="339" spans="1:22" x14ac:dyDescent="0.25">
      <c r="A339" t="s">
        <v>417</v>
      </c>
      <c r="B339" s="2">
        <v>46040</v>
      </c>
      <c r="C339">
        <v>2026</v>
      </c>
      <c r="D339" t="s">
        <v>68</v>
      </c>
      <c r="E339" t="s">
        <v>557</v>
      </c>
      <c r="F339" t="s">
        <v>24</v>
      </c>
      <c r="G339" t="s">
        <v>25</v>
      </c>
      <c r="H339" t="s">
        <v>26</v>
      </c>
      <c r="I339" t="s">
        <v>50</v>
      </c>
      <c r="J339" t="s">
        <v>87</v>
      </c>
      <c r="K339" t="s">
        <v>26</v>
      </c>
      <c r="L339" s="3">
        <v>1713500</v>
      </c>
      <c r="M339" s="3">
        <v>114200</v>
      </c>
      <c r="N339" t="s">
        <v>39</v>
      </c>
      <c r="O339" t="s">
        <v>98</v>
      </c>
      <c r="P339" t="s">
        <v>31</v>
      </c>
      <c r="Q339" t="s">
        <v>32</v>
      </c>
      <c r="R339" t="s">
        <v>33</v>
      </c>
      <c r="S339" s="3">
        <v>5121500</v>
      </c>
      <c r="T339" t="str">
        <f>TEXT(tblTransactions[[#This Row],[Date]],"mmm")</f>
        <v>Jan</v>
      </c>
      <c r="U339">
        <f>MONTH(tblTransactions[[#This Row],[Date]])</f>
        <v>1</v>
      </c>
      <c r="V339" t="str">
        <f>"Q"&amp;ROUNDUP(MONTH(tblTransactions[[#This Row],[Date]])/3,0)</f>
        <v>Q1</v>
      </c>
    </row>
    <row r="340" spans="1:22" x14ac:dyDescent="0.25">
      <c r="A340" t="s">
        <v>418</v>
      </c>
      <c r="B340" s="2">
        <v>46041</v>
      </c>
      <c r="C340">
        <v>2026</v>
      </c>
      <c r="D340" t="s">
        <v>23</v>
      </c>
      <c r="E340" t="s">
        <v>554</v>
      </c>
      <c r="F340" t="s">
        <v>35</v>
      </c>
      <c r="G340" t="s">
        <v>95</v>
      </c>
      <c r="H340" t="s">
        <v>96</v>
      </c>
      <c r="I340" t="s">
        <v>37</v>
      </c>
      <c r="J340" t="s">
        <v>87</v>
      </c>
      <c r="K340" t="s">
        <v>96</v>
      </c>
      <c r="L340" s="3">
        <v>7617800</v>
      </c>
      <c r="M340" s="3">
        <v>0</v>
      </c>
      <c r="N340" t="s">
        <v>58</v>
      </c>
      <c r="O340" t="s">
        <v>66</v>
      </c>
      <c r="P340" t="s">
        <v>31</v>
      </c>
      <c r="Q340" t="s">
        <v>33</v>
      </c>
      <c r="R340" t="s">
        <v>33</v>
      </c>
      <c r="S340" s="3">
        <v>12739300</v>
      </c>
      <c r="T340" t="str">
        <f>TEXT(tblTransactions[[#This Row],[Date]],"mmm")</f>
        <v>Jan</v>
      </c>
      <c r="U340">
        <f>MONTH(tblTransactions[[#This Row],[Date]])</f>
        <v>1</v>
      </c>
      <c r="V340" t="str">
        <f>"Q"&amp;ROUNDUP(MONTH(tblTransactions[[#This Row],[Date]])/3,0)</f>
        <v>Q1</v>
      </c>
    </row>
    <row r="341" spans="1:22" x14ac:dyDescent="0.25">
      <c r="A341" t="s">
        <v>419</v>
      </c>
      <c r="B341" s="2">
        <v>46042</v>
      </c>
      <c r="C341">
        <v>2026</v>
      </c>
      <c r="D341" t="s">
        <v>23</v>
      </c>
      <c r="E341" t="s">
        <v>555</v>
      </c>
      <c r="F341" t="s">
        <v>24</v>
      </c>
      <c r="G341" t="s">
        <v>101</v>
      </c>
      <c r="H341" t="s">
        <v>102</v>
      </c>
      <c r="I341" t="s">
        <v>42</v>
      </c>
      <c r="J341" t="s">
        <v>87</v>
      </c>
      <c r="K341" t="s">
        <v>102</v>
      </c>
      <c r="L341" s="3">
        <v>211100</v>
      </c>
      <c r="M341" s="3">
        <v>532400</v>
      </c>
      <c r="N341" t="s">
        <v>51</v>
      </c>
      <c r="O341" t="s">
        <v>47</v>
      </c>
      <c r="P341" t="s">
        <v>31</v>
      </c>
      <c r="Q341" t="s">
        <v>33</v>
      </c>
      <c r="R341" t="s">
        <v>33</v>
      </c>
      <c r="S341" s="3">
        <v>12528200</v>
      </c>
      <c r="T341" t="str">
        <f>TEXT(tblTransactions[[#This Row],[Date]],"mmm")</f>
        <v>Jan</v>
      </c>
      <c r="U341">
        <f>MONTH(tblTransactions[[#This Row],[Date]])</f>
        <v>1</v>
      </c>
      <c r="V341" t="str">
        <f>"Q"&amp;ROUNDUP(MONTH(tblTransactions[[#This Row],[Date]])/3,0)</f>
        <v>Q1</v>
      </c>
    </row>
    <row r="342" spans="1:22" x14ac:dyDescent="0.25">
      <c r="A342" t="s">
        <v>420</v>
      </c>
      <c r="B342" s="2">
        <v>46043</v>
      </c>
      <c r="C342">
        <v>2026</v>
      </c>
      <c r="D342" t="s">
        <v>68</v>
      </c>
      <c r="E342" t="s">
        <v>553</v>
      </c>
      <c r="F342" t="s">
        <v>24</v>
      </c>
      <c r="G342" t="s">
        <v>54</v>
      </c>
      <c r="H342" t="s">
        <v>55</v>
      </c>
      <c r="I342" t="s">
        <v>42</v>
      </c>
      <c r="J342" t="s">
        <v>28</v>
      </c>
      <c r="K342" t="s">
        <v>55</v>
      </c>
      <c r="L342" s="3">
        <v>1588800</v>
      </c>
      <c r="M342" s="3">
        <v>1524300</v>
      </c>
      <c r="N342" t="s">
        <v>58</v>
      </c>
      <c r="O342" t="s">
        <v>72</v>
      </c>
      <c r="P342" t="s">
        <v>31</v>
      </c>
      <c r="Q342" t="s">
        <v>32</v>
      </c>
      <c r="R342" t="s">
        <v>33</v>
      </c>
      <c r="S342" s="3">
        <v>10939400</v>
      </c>
      <c r="T342" t="str">
        <f>TEXT(tblTransactions[[#This Row],[Date]],"mmm")</f>
        <v>Jan</v>
      </c>
      <c r="U342">
        <f>MONTH(tblTransactions[[#This Row],[Date]])</f>
        <v>1</v>
      </c>
      <c r="V342" t="str">
        <f>"Q"&amp;ROUNDUP(MONTH(tblTransactions[[#This Row],[Date]])/3,0)</f>
        <v>Q1</v>
      </c>
    </row>
    <row r="343" spans="1:22" x14ac:dyDescent="0.25">
      <c r="A343" t="s">
        <v>421</v>
      </c>
      <c r="B343" s="2">
        <v>46044</v>
      </c>
      <c r="C343">
        <v>2026</v>
      </c>
      <c r="D343" t="s">
        <v>68</v>
      </c>
      <c r="E343" t="s">
        <v>557</v>
      </c>
      <c r="F343" t="s">
        <v>24</v>
      </c>
      <c r="G343" t="s">
        <v>74</v>
      </c>
      <c r="H343" t="s">
        <v>75</v>
      </c>
      <c r="I343" t="s">
        <v>50</v>
      </c>
      <c r="J343" t="s">
        <v>57</v>
      </c>
      <c r="K343" t="s">
        <v>75</v>
      </c>
      <c r="L343" s="3">
        <v>660200</v>
      </c>
      <c r="M343" s="3">
        <v>1560700</v>
      </c>
      <c r="N343" t="s">
        <v>51</v>
      </c>
      <c r="O343" t="s">
        <v>66</v>
      </c>
      <c r="P343" t="s">
        <v>31</v>
      </c>
      <c r="Q343" t="s">
        <v>32</v>
      </c>
      <c r="R343" t="s">
        <v>32</v>
      </c>
      <c r="S343" s="3">
        <v>10279200</v>
      </c>
      <c r="T343" t="str">
        <f>TEXT(tblTransactions[[#This Row],[Date]],"mmm")</f>
        <v>Jan</v>
      </c>
      <c r="U343">
        <f>MONTH(tblTransactions[[#This Row],[Date]])</f>
        <v>1</v>
      </c>
      <c r="V343" t="str">
        <f>"Q"&amp;ROUNDUP(MONTH(tblTransactions[[#This Row],[Date]])/3,0)</f>
        <v>Q1</v>
      </c>
    </row>
    <row r="344" spans="1:22" x14ac:dyDescent="0.25">
      <c r="A344" t="s">
        <v>422</v>
      </c>
      <c r="B344" s="2">
        <v>46045</v>
      </c>
      <c r="C344">
        <v>2026</v>
      </c>
      <c r="D344" t="s">
        <v>23</v>
      </c>
      <c r="E344" t="s">
        <v>557</v>
      </c>
      <c r="F344" t="s">
        <v>24</v>
      </c>
      <c r="G344" t="s">
        <v>70</v>
      </c>
      <c r="H344" t="s">
        <v>71</v>
      </c>
      <c r="I344" t="s">
        <v>45</v>
      </c>
      <c r="J344" t="s">
        <v>28</v>
      </c>
      <c r="K344" t="s">
        <v>71</v>
      </c>
      <c r="L344" s="3">
        <v>1338000</v>
      </c>
      <c r="M344" s="3">
        <v>1152100</v>
      </c>
      <c r="N344" t="s">
        <v>51</v>
      </c>
      <c r="O344" t="s">
        <v>40</v>
      </c>
      <c r="P344" t="s">
        <v>31</v>
      </c>
      <c r="Q344" t="s">
        <v>32</v>
      </c>
      <c r="R344" t="s">
        <v>33</v>
      </c>
      <c r="S344" s="3">
        <v>8941200</v>
      </c>
      <c r="T344" t="str">
        <f>TEXT(tblTransactions[[#This Row],[Date]],"mmm")</f>
        <v>Jan</v>
      </c>
      <c r="U344">
        <f>MONTH(tblTransactions[[#This Row],[Date]])</f>
        <v>1</v>
      </c>
      <c r="V344" t="str">
        <f>"Q"&amp;ROUNDUP(MONTH(tblTransactions[[#This Row],[Date]])/3,0)</f>
        <v>Q1</v>
      </c>
    </row>
    <row r="345" spans="1:22" x14ac:dyDescent="0.25">
      <c r="A345" t="s">
        <v>423</v>
      </c>
      <c r="B345" s="2">
        <v>46046</v>
      </c>
      <c r="C345">
        <v>2026</v>
      </c>
      <c r="D345" t="s">
        <v>42</v>
      </c>
      <c r="E345" t="s">
        <v>554</v>
      </c>
      <c r="F345" t="s">
        <v>24</v>
      </c>
      <c r="G345" t="s">
        <v>70</v>
      </c>
      <c r="H345" t="s">
        <v>71</v>
      </c>
      <c r="I345" t="s">
        <v>42</v>
      </c>
      <c r="J345" t="s">
        <v>64</v>
      </c>
      <c r="K345" t="s">
        <v>71</v>
      </c>
      <c r="L345" s="3">
        <v>542200</v>
      </c>
      <c r="M345" s="3">
        <v>442700</v>
      </c>
      <c r="N345" t="s">
        <v>51</v>
      </c>
      <c r="O345" t="s">
        <v>66</v>
      </c>
      <c r="P345" t="s">
        <v>31</v>
      </c>
      <c r="Q345" t="s">
        <v>33</v>
      </c>
      <c r="R345" t="s">
        <v>33</v>
      </c>
      <c r="S345" s="3">
        <v>8399000</v>
      </c>
      <c r="T345" t="str">
        <f>TEXT(tblTransactions[[#This Row],[Date]],"mmm")</f>
        <v>Jan</v>
      </c>
      <c r="U345">
        <f>MONTH(tblTransactions[[#This Row],[Date]])</f>
        <v>1</v>
      </c>
      <c r="V345" t="str">
        <f>"Q"&amp;ROUNDUP(MONTH(tblTransactions[[#This Row],[Date]])/3,0)</f>
        <v>Q1</v>
      </c>
    </row>
    <row r="346" spans="1:22" x14ac:dyDescent="0.25">
      <c r="A346" t="s">
        <v>424</v>
      </c>
      <c r="B346" s="2">
        <v>46047</v>
      </c>
      <c r="C346">
        <v>2026</v>
      </c>
      <c r="D346" t="s">
        <v>42</v>
      </c>
      <c r="E346" t="s">
        <v>555</v>
      </c>
      <c r="F346" t="s">
        <v>24</v>
      </c>
      <c r="G346" t="s">
        <v>74</v>
      </c>
      <c r="H346" t="s">
        <v>75</v>
      </c>
      <c r="I346" t="s">
        <v>45</v>
      </c>
      <c r="J346" t="s">
        <v>38</v>
      </c>
      <c r="K346" t="s">
        <v>75</v>
      </c>
      <c r="L346" s="3">
        <v>875300</v>
      </c>
      <c r="M346" s="3">
        <v>1895400</v>
      </c>
      <c r="N346" t="s">
        <v>51</v>
      </c>
      <c r="O346" t="s">
        <v>47</v>
      </c>
      <c r="P346" t="s">
        <v>31</v>
      </c>
      <c r="Q346" t="s">
        <v>33</v>
      </c>
      <c r="R346" t="s">
        <v>33</v>
      </c>
      <c r="S346" s="3">
        <v>7523700</v>
      </c>
      <c r="T346" t="str">
        <f>TEXT(tblTransactions[[#This Row],[Date]],"mmm")</f>
        <v>Jan</v>
      </c>
      <c r="U346">
        <f>MONTH(tblTransactions[[#This Row],[Date]])</f>
        <v>1</v>
      </c>
      <c r="V346" t="str">
        <f>"Q"&amp;ROUNDUP(MONTH(tblTransactions[[#This Row],[Date]])/3,0)</f>
        <v>Q1</v>
      </c>
    </row>
    <row r="347" spans="1:22" x14ac:dyDescent="0.25">
      <c r="A347" t="s">
        <v>425</v>
      </c>
      <c r="B347" s="2">
        <v>46048</v>
      </c>
      <c r="C347">
        <v>2026</v>
      </c>
      <c r="D347" t="s">
        <v>23</v>
      </c>
      <c r="E347" t="s">
        <v>552</v>
      </c>
      <c r="F347" t="s">
        <v>35</v>
      </c>
      <c r="G347" t="s">
        <v>49</v>
      </c>
      <c r="H347" t="s">
        <v>49</v>
      </c>
      <c r="I347" t="s">
        <v>27</v>
      </c>
      <c r="J347" t="s">
        <v>38</v>
      </c>
      <c r="K347" t="s">
        <v>49</v>
      </c>
      <c r="L347" s="3">
        <v>5034000</v>
      </c>
      <c r="M347" s="3">
        <v>0</v>
      </c>
      <c r="N347" t="s">
        <v>29</v>
      </c>
      <c r="O347" t="s">
        <v>30</v>
      </c>
      <c r="P347" t="s">
        <v>31</v>
      </c>
      <c r="Q347" t="s">
        <v>33</v>
      </c>
      <c r="R347" t="s">
        <v>33</v>
      </c>
      <c r="S347" s="3">
        <v>12557700</v>
      </c>
      <c r="T347" t="str">
        <f>TEXT(tblTransactions[[#This Row],[Date]],"mmm")</f>
        <v>Jan</v>
      </c>
      <c r="U347">
        <f>MONTH(tblTransactions[[#This Row],[Date]])</f>
        <v>1</v>
      </c>
      <c r="V347" t="str">
        <f>"Q"&amp;ROUNDUP(MONTH(tblTransactions[[#This Row],[Date]])/3,0)</f>
        <v>Q1</v>
      </c>
    </row>
    <row r="348" spans="1:22" x14ac:dyDescent="0.25">
      <c r="A348" t="s">
        <v>426</v>
      </c>
      <c r="B348" s="2">
        <v>46049</v>
      </c>
      <c r="C348">
        <v>2026</v>
      </c>
      <c r="D348" t="s">
        <v>68</v>
      </c>
      <c r="E348" t="s">
        <v>553</v>
      </c>
      <c r="F348" t="s">
        <v>35</v>
      </c>
      <c r="G348" t="s">
        <v>49</v>
      </c>
      <c r="H348" t="s">
        <v>49</v>
      </c>
      <c r="I348" t="s">
        <v>37</v>
      </c>
      <c r="J348" t="s">
        <v>57</v>
      </c>
      <c r="K348" t="s">
        <v>49</v>
      </c>
      <c r="L348" s="3">
        <v>7122800</v>
      </c>
      <c r="M348" s="3">
        <v>0</v>
      </c>
      <c r="N348" t="s">
        <v>29</v>
      </c>
      <c r="O348" t="s">
        <v>60</v>
      </c>
      <c r="P348" t="s">
        <v>31</v>
      </c>
      <c r="Q348" t="s">
        <v>32</v>
      </c>
      <c r="R348" t="s">
        <v>32</v>
      </c>
      <c r="S348" s="3">
        <v>19680500</v>
      </c>
      <c r="T348" t="str">
        <f>TEXT(tblTransactions[[#This Row],[Date]],"mmm")</f>
        <v>Jan</v>
      </c>
      <c r="U348">
        <f>MONTH(tblTransactions[[#This Row],[Date]])</f>
        <v>1</v>
      </c>
      <c r="V348" t="str">
        <f>"Q"&amp;ROUNDUP(MONTH(tblTransactions[[#This Row],[Date]])/3,0)</f>
        <v>Q1</v>
      </c>
    </row>
    <row r="349" spans="1:22" x14ac:dyDescent="0.25">
      <c r="A349" t="s">
        <v>427</v>
      </c>
      <c r="B349" s="2">
        <v>46050</v>
      </c>
      <c r="C349">
        <v>2026</v>
      </c>
      <c r="D349" t="s">
        <v>68</v>
      </c>
      <c r="E349" t="s">
        <v>557</v>
      </c>
      <c r="F349" t="s">
        <v>24</v>
      </c>
      <c r="G349" t="s">
        <v>70</v>
      </c>
      <c r="H349" t="s">
        <v>71</v>
      </c>
      <c r="I349" t="s">
        <v>27</v>
      </c>
      <c r="J349" t="s">
        <v>46</v>
      </c>
      <c r="K349" t="s">
        <v>71</v>
      </c>
      <c r="L349" s="3">
        <v>743700</v>
      </c>
      <c r="M349" s="3">
        <v>334300</v>
      </c>
      <c r="N349" t="s">
        <v>58</v>
      </c>
      <c r="O349" t="s">
        <v>47</v>
      </c>
      <c r="P349" t="s">
        <v>31</v>
      </c>
      <c r="Q349" t="s">
        <v>33</v>
      </c>
      <c r="R349" t="s">
        <v>32</v>
      </c>
      <c r="S349" s="3">
        <v>18936800</v>
      </c>
      <c r="T349" t="str">
        <f>TEXT(tblTransactions[[#This Row],[Date]],"mmm")</f>
        <v>Jan</v>
      </c>
      <c r="U349">
        <f>MONTH(tblTransactions[[#This Row],[Date]])</f>
        <v>1</v>
      </c>
      <c r="V349" t="str">
        <f>"Q"&amp;ROUNDUP(MONTH(tblTransactions[[#This Row],[Date]])/3,0)</f>
        <v>Q1</v>
      </c>
    </row>
    <row r="350" spans="1:22" x14ac:dyDescent="0.25">
      <c r="A350" t="s">
        <v>428</v>
      </c>
      <c r="B350" s="2">
        <v>46051</v>
      </c>
      <c r="C350">
        <v>2026</v>
      </c>
      <c r="D350" t="s">
        <v>42</v>
      </c>
      <c r="E350" t="s">
        <v>557</v>
      </c>
      <c r="F350" t="s">
        <v>24</v>
      </c>
      <c r="G350" t="s">
        <v>101</v>
      </c>
      <c r="H350" t="s">
        <v>102</v>
      </c>
      <c r="I350" t="s">
        <v>27</v>
      </c>
      <c r="J350" t="s">
        <v>92</v>
      </c>
      <c r="K350" t="s">
        <v>102</v>
      </c>
      <c r="L350" s="3">
        <v>1506700</v>
      </c>
      <c r="M350" s="3">
        <v>1715200</v>
      </c>
      <c r="N350" t="s">
        <v>39</v>
      </c>
      <c r="O350" t="s">
        <v>30</v>
      </c>
      <c r="P350" t="s">
        <v>31</v>
      </c>
      <c r="Q350" t="s">
        <v>33</v>
      </c>
      <c r="R350" t="s">
        <v>33</v>
      </c>
      <c r="S350" s="3">
        <v>17430100</v>
      </c>
      <c r="T350" t="str">
        <f>TEXT(tblTransactions[[#This Row],[Date]],"mmm")</f>
        <v>Jan</v>
      </c>
      <c r="U350">
        <f>MONTH(tblTransactions[[#This Row],[Date]])</f>
        <v>1</v>
      </c>
      <c r="V350" t="str">
        <f>"Q"&amp;ROUNDUP(MONTH(tblTransactions[[#This Row],[Date]])/3,0)</f>
        <v>Q1</v>
      </c>
    </row>
    <row r="351" spans="1:22" x14ac:dyDescent="0.25">
      <c r="A351" t="s">
        <v>429</v>
      </c>
      <c r="B351" s="2">
        <v>46052</v>
      </c>
      <c r="C351">
        <v>2026</v>
      </c>
      <c r="D351" t="s">
        <v>68</v>
      </c>
      <c r="E351" t="s">
        <v>553</v>
      </c>
      <c r="F351" t="s">
        <v>24</v>
      </c>
      <c r="G351" t="s">
        <v>107</v>
      </c>
      <c r="H351" t="s">
        <v>108</v>
      </c>
      <c r="I351" t="s">
        <v>50</v>
      </c>
      <c r="J351" t="s">
        <v>38</v>
      </c>
      <c r="K351" t="s">
        <v>108</v>
      </c>
      <c r="L351" s="3">
        <v>1110000</v>
      </c>
      <c r="M351" s="3">
        <v>790400</v>
      </c>
      <c r="N351" t="s">
        <v>29</v>
      </c>
      <c r="O351" t="s">
        <v>30</v>
      </c>
      <c r="P351" t="s">
        <v>31</v>
      </c>
      <c r="Q351" t="s">
        <v>32</v>
      </c>
      <c r="R351" t="s">
        <v>33</v>
      </c>
      <c r="S351" s="3">
        <v>16320100</v>
      </c>
      <c r="T351" t="str">
        <f>TEXT(tblTransactions[[#This Row],[Date]],"mmm")</f>
        <v>Jan</v>
      </c>
      <c r="U351">
        <f>MONTH(tblTransactions[[#This Row],[Date]])</f>
        <v>1</v>
      </c>
      <c r="V351" t="str">
        <f>"Q"&amp;ROUNDUP(MONTH(tblTransactions[[#This Row],[Date]])/3,0)</f>
        <v>Q1</v>
      </c>
    </row>
    <row r="352" spans="1:22" x14ac:dyDescent="0.25">
      <c r="A352" t="s">
        <v>430</v>
      </c>
      <c r="B352" s="2">
        <v>46053</v>
      </c>
      <c r="C352">
        <v>2026</v>
      </c>
      <c r="D352" t="s">
        <v>42</v>
      </c>
      <c r="E352" t="s">
        <v>556</v>
      </c>
      <c r="F352" t="s">
        <v>35</v>
      </c>
      <c r="G352" t="s">
        <v>95</v>
      </c>
      <c r="H352" t="s">
        <v>96</v>
      </c>
      <c r="I352" t="s">
        <v>42</v>
      </c>
      <c r="J352" t="s">
        <v>92</v>
      </c>
      <c r="K352" t="s">
        <v>96</v>
      </c>
      <c r="L352" s="3">
        <v>4638800</v>
      </c>
      <c r="M352" s="3">
        <v>0</v>
      </c>
      <c r="N352" t="s">
        <v>29</v>
      </c>
      <c r="O352" t="s">
        <v>66</v>
      </c>
      <c r="P352" t="s">
        <v>31</v>
      </c>
      <c r="Q352" t="s">
        <v>33</v>
      </c>
      <c r="R352" t="s">
        <v>33</v>
      </c>
      <c r="S352" s="3">
        <v>20958900</v>
      </c>
      <c r="T352" t="str">
        <f>TEXT(tblTransactions[[#This Row],[Date]],"mmm")</f>
        <v>Jan</v>
      </c>
      <c r="U352">
        <f>MONTH(tblTransactions[[#This Row],[Date]])</f>
        <v>1</v>
      </c>
      <c r="V352" t="str">
        <f>"Q"&amp;ROUNDUP(MONTH(tblTransactions[[#This Row],[Date]])/3,0)</f>
        <v>Q1</v>
      </c>
    </row>
    <row r="353" spans="1:22" x14ac:dyDescent="0.25">
      <c r="A353" t="s">
        <v>431</v>
      </c>
      <c r="B353" s="2">
        <v>46054</v>
      </c>
      <c r="C353">
        <v>2026</v>
      </c>
      <c r="D353" t="s">
        <v>42</v>
      </c>
      <c r="E353" t="s">
        <v>556</v>
      </c>
      <c r="F353" t="s">
        <v>24</v>
      </c>
      <c r="G353" t="s">
        <v>62</v>
      </c>
      <c r="H353" t="s">
        <v>63</v>
      </c>
      <c r="I353" t="s">
        <v>56</v>
      </c>
      <c r="J353" t="s">
        <v>38</v>
      </c>
      <c r="K353" t="s">
        <v>63</v>
      </c>
      <c r="L353" s="3">
        <v>157400</v>
      </c>
      <c r="M353" s="3">
        <v>1556800</v>
      </c>
      <c r="N353" t="s">
        <v>58</v>
      </c>
      <c r="O353" t="s">
        <v>60</v>
      </c>
      <c r="P353" t="s">
        <v>31</v>
      </c>
      <c r="Q353" t="s">
        <v>32</v>
      </c>
      <c r="R353" t="s">
        <v>33</v>
      </c>
      <c r="S353" s="3">
        <v>20801500</v>
      </c>
      <c r="T353" t="str">
        <f>TEXT(tblTransactions[[#This Row],[Date]],"mmm")</f>
        <v>Feb</v>
      </c>
      <c r="U353">
        <f>MONTH(tblTransactions[[#This Row],[Date]])</f>
        <v>2</v>
      </c>
      <c r="V353" t="str">
        <f>"Q"&amp;ROUNDUP(MONTH(tblTransactions[[#This Row],[Date]])/3,0)</f>
        <v>Q1</v>
      </c>
    </row>
    <row r="354" spans="1:22" x14ac:dyDescent="0.25">
      <c r="A354" t="s">
        <v>432</v>
      </c>
      <c r="B354" s="2">
        <v>46055</v>
      </c>
      <c r="C354">
        <v>2026</v>
      </c>
      <c r="D354" t="s">
        <v>23</v>
      </c>
      <c r="E354" t="s">
        <v>555</v>
      </c>
      <c r="F354" t="s">
        <v>35</v>
      </c>
      <c r="G354" t="s">
        <v>95</v>
      </c>
      <c r="H354" t="s">
        <v>96</v>
      </c>
      <c r="I354" t="s">
        <v>42</v>
      </c>
      <c r="J354" t="s">
        <v>87</v>
      </c>
      <c r="K354" t="s">
        <v>96</v>
      </c>
      <c r="L354" s="3">
        <v>595600</v>
      </c>
      <c r="M354" s="3">
        <v>0</v>
      </c>
      <c r="N354" t="s">
        <v>29</v>
      </c>
      <c r="O354" t="s">
        <v>47</v>
      </c>
      <c r="P354" t="s">
        <v>31</v>
      </c>
      <c r="Q354" t="s">
        <v>33</v>
      </c>
      <c r="R354" t="s">
        <v>33</v>
      </c>
      <c r="S354" s="3">
        <v>21397100</v>
      </c>
      <c r="T354" t="str">
        <f>TEXT(tblTransactions[[#This Row],[Date]],"mmm")</f>
        <v>Feb</v>
      </c>
      <c r="U354">
        <f>MONTH(tblTransactions[[#This Row],[Date]])</f>
        <v>2</v>
      </c>
      <c r="V354" t="str">
        <f>"Q"&amp;ROUNDUP(MONTH(tblTransactions[[#This Row],[Date]])/3,0)</f>
        <v>Q1</v>
      </c>
    </row>
    <row r="355" spans="1:22" x14ac:dyDescent="0.25">
      <c r="A355" t="s">
        <v>433</v>
      </c>
      <c r="B355" s="2">
        <v>46056</v>
      </c>
      <c r="C355">
        <v>2026</v>
      </c>
      <c r="D355" t="s">
        <v>42</v>
      </c>
      <c r="E355" t="s">
        <v>555</v>
      </c>
      <c r="F355" t="s">
        <v>24</v>
      </c>
      <c r="G355" t="s">
        <v>70</v>
      </c>
      <c r="H355" t="s">
        <v>71</v>
      </c>
      <c r="I355" t="s">
        <v>27</v>
      </c>
      <c r="J355" t="s">
        <v>115</v>
      </c>
      <c r="K355" t="s">
        <v>71</v>
      </c>
      <c r="L355" s="3">
        <v>818000</v>
      </c>
      <c r="M355" s="3">
        <v>1405200</v>
      </c>
      <c r="N355" t="s">
        <v>58</v>
      </c>
      <c r="O355" t="s">
        <v>47</v>
      </c>
      <c r="P355" t="s">
        <v>31</v>
      </c>
      <c r="Q355" t="s">
        <v>32</v>
      </c>
      <c r="R355" t="s">
        <v>33</v>
      </c>
      <c r="S355" s="3">
        <v>20579100</v>
      </c>
      <c r="T355" t="str">
        <f>TEXT(tblTransactions[[#This Row],[Date]],"mmm")</f>
        <v>Feb</v>
      </c>
      <c r="U355">
        <f>MONTH(tblTransactions[[#This Row],[Date]])</f>
        <v>2</v>
      </c>
      <c r="V355" t="str">
        <f>"Q"&amp;ROUNDUP(MONTH(tblTransactions[[#This Row],[Date]])/3,0)</f>
        <v>Q1</v>
      </c>
    </row>
    <row r="356" spans="1:22" x14ac:dyDescent="0.25">
      <c r="A356" t="s">
        <v>434</v>
      </c>
      <c r="B356" s="2">
        <v>46057</v>
      </c>
      <c r="C356">
        <v>2026</v>
      </c>
      <c r="D356" t="s">
        <v>23</v>
      </c>
      <c r="E356" t="s">
        <v>556</v>
      </c>
      <c r="F356" t="s">
        <v>24</v>
      </c>
      <c r="G356" t="s">
        <v>107</v>
      </c>
      <c r="H356" t="s">
        <v>108</v>
      </c>
      <c r="I356" t="s">
        <v>45</v>
      </c>
      <c r="J356" t="s">
        <v>46</v>
      </c>
      <c r="K356" t="s">
        <v>108</v>
      </c>
      <c r="L356" s="3">
        <v>1165700</v>
      </c>
      <c r="M356" s="3">
        <v>1491700</v>
      </c>
      <c r="N356" t="s">
        <v>51</v>
      </c>
      <c r="O356" t="s">
        <v>72</v>
      </c>
      <c r="P356" t="s">
        <v>31</v>
      </c>
      <c r="Q356" t="s">
        <v>33</v>
      </c>
      <c r="R356" t="s">
        <v>33</v>
      </c>
      <c r="S356" s="3">
        <v>19413400</v>
      </c>
      <c r="T356" t="str">
        <f>TEXT(tblTransactions[[#This Row],[Date]],"mmm")</f>
        <v>Feb</v>
      </c>
      <c r="U356">
        <f>MONTH(tblTransactions[[#This Row],[Date]])</f>
        <v>2</v>
      </c>
      <c r="V356" t="str">
        <f>"Q"&amp;ROUNDUP(MONTH(tblTransactions[[#This Row],[Date]])/3,0)</f>
        <v>Q1</v>
      </c>
    </row>
    <row r="357" spans="1:22" x14ac:dyDescent="0.25">
      <c r="A357" t="s">
        <v>435</v>
      </c>
      <c r="B357" s="2">
        <v>46061</v>
      </c>
      <c r="C357">
        <v>2026</v>
      </c>
      <c r="D357" t="s">
        <v>42</v>
      </c>
      <c r="E357" t="s">
        <v>557</v>
      </c>
      <c r="F357" t="s">
        <v>35</v>
      </c>
      <c r="G357" t="s">
        <v>80</v>
      </c>
      <c r="H357" t="s">
        <v>81</v>
      </c>
      <c r="I357" t="s">
        <v>27</v>
      </c>
      <c r="J357" t="s">
        <v>92</v>
      </c>
      <c r="K357" t="s">
        <v>81</v>
      </c>
      <c r="L357" s="3">
        <v>1806600</v>
      </c>
      <c r="M357" s="3">
        <v>0</v>
      </c>
      <c r="N357" t="s">
        <v>51</v>
      </c>
      <c r="O357" t="s">
        <v>52</v>
      </c>
      <c r="P357" t="s">
        <v>31</v>
      </c>
      <c r="Q357" t="s">
        <v>32</v>
      </c>
      <c r="R357" t="s">
        <v>33</v>
      </c>
      <c r="S357" s="3">
        <v>21220000</v>
      </c>
      <c r="T357" t="str">
        <f>TEXT(tblTransactions[[#This Row],[Date]],"mmm")</f>
        <v>Feb</v>
      </c>
      <c r="U357">
        <f>MONTH(tblTransactions[[#This Row],[Date]])</f>
        <v>2</v>
      </c>
      <c r="V357" t="str">
        <f>"Q"&amp;ROUNDUP(MONTH(tblTransactions[[#This Row],[Date]])/3,0)</f>
        <v>Q1</v>
      </c>
    </row>
    <row r="358" spans="1:22" x14ac:dyDescent="0.25">
      <c r="A358" t="s">
        <v>436</v>
      </c>
      <c r="B358" s="2">
        <v>46062</v>
      </c>
      <c r="C358">
        <v>2026</v>
      </c>
      <c r="D358" t="s">
        <v>42</v>
      </c>
      <c r="E358" t="s">
        <v>555</v>
      </c>
      <c r="F358" t="s">
        <v>35</v>
      </c>
      <c r="G358" t="s">
        <v>80</v>
      </c>
      <c r="H358" t="s">
        <v>81</v>
      </c>
      <c r="I358" t="s">
        <v>27</v>
      </c>
      <c r="J358" t="s">
        <v>92</v>
      </c>
      <c r="K358" t="s">
        <v>81</v>
      </c>
      <c r="L358" s="3">
        <v>1309600</v>
      </c>
      <c r="M358" s="3">
        <v>0</v>
      </c>
      <c r="N358" t="s">
        <v>39</v>
      </c>
      <c r="O358" t="s">
        <v>109</v>
      </c>
      <c r="P358" t="s">
        <v>31</v>
      </c>
      <c r="Q358" t="s">
        <v>33</v>
      </c>
      <c r="R358" t="s">
        <v>33</v>
      </c>
      <c r="S358" s="3">
        <v>22529600</v>
      </c>
      <c r="T358" t="str">
        <f>TEXT(tblTransactions[[#This Row],[Date]],"mmm")</f>
        <v>Feb</v>
      </c>
      <c r="U358">
        <f>MONTH(tblTransactions[[#This Row],[Date]])</f>
        <v>2</v>
      </c>
      <c r="V358" t="str">
        <f>"Q"&amp;ROUNDUP(MONTH(tblTransactions[[#This Row],[Date]])/3,0)</f>
        <v>Q1</v>
      </c>
    </row>
    <row r="359" spans="1:22" x14ac:dyDescent="0.25">
      <c r="A359" t="s">
        <v>437</v>
      </c>
      <c r="B359" s="2">
        <v>46063</v>
      </c>
      <c r="C359">
        <v>2026</v>
      </c>
      <c r="D359" t="s">
        <v>68</v>
      </c>
      <c r="E359" t="s">
        <v>553</v>
      </c>
      <c r="F359" t="s">
        <v>24</v>
      </c>
      <c r="G359" t="s">
        <v>54</v>
      </c>
      <c r="H359" t="s">
        <v>55</v>
      </c>
      <c r="I359" t="s">
        <v>42</v>
      </c>
      <c r="J359" t="s">
        <v>92</v>
      </c>
      <c r="K359" t="s">
        <v>55</v>
      </c>
      <c r="L359" s="3">
        <v>956800</v>
      </c>
      <c r="M359" s="3">
        <v>1865200</v>
      </c>
      <c r="N359" t="s">
        <v>29</v>
      </c>
      <c r="O359" t="s">
        <v>52</v>
      </c>
      <c r="P359" t="s">
        <v>31</v>
      </c>
      <c r="Q359" t="s">
        <v>33</v>
      </c>
      <c r="R359" t="s">
        <v>33</v>
      </c>
      <c r="S359" s="3">
        <v>21572800</v>
      </c>
      <c r="T359" t="str">
        <f>TEXT(tblTransactions[[#This Row],[Date]],"mmm")</f>
        <v>Feb</v>
      </c>
      <c r="U359">
        <f>MONTH(tblTransactions[[#This Row],[Date]])</f>
        <v>2</v>
      </c>
      <c r="V359" t="str">
        <f>"Q"&amp;ROUNDUP(MONTH(tblTransactions[[#This Row],[Date]])/3,0)</f>
        <v>Q1</v>
      </c>
    </row>
    <row r="360" spans="1:22" x14ac:dyDescent="0.25">
      <c r="A360" t="s">
        <v>438</v>
      </c>
      <c r="B360" s="2">
        <v>46064</v>
      </c>
      <c r="C360">
        <v>2026</v>
      </c>
      <c r="D360" t="s">
        <v>68</v>
      </c>
      <c r="E360" t="s">
        <v>554</v>
      </c>
      <c r="F360" t="s">
        <v>24</v>
      </c>
      <c r="G360" t="s">
        <v>25</v>
      </c>
      <c r="H360" t="s">
        <v>26</v>
      </c>
      <c r="I360" t="s">
        <v>37</v>
      </c>
      <c r="J360" t="s">
        <v>78</v>
      </c>
      <c r="K360" t="s">
        <v>26</v>
      </c>
      <c r="L360" s="3">
        <v>568100</v>
      </c>
      <c r="M360" s="3">
        <v>578100</v>
      </c>
      <c r="N360" t="s">
        <v>29</v>
      </c>
      <c r="O360" t="s">
        <v>47</v>
      </c>
      <c r="P360" t="s">
        <v>31</v>
      </c>
      <c r="Q360" t="s">
        <v>33</v>
      </c>
      <c r="R360" t="s">
        <v>33</v>
      </c>
      <c r="S360" s="3">
        <v>21004700</v>
      </c>
      <c r="T360" t="str">
        <f>TEXT(tblTransactions[[#This Row],[Date]],"mmm")</f>
        <v>Feb</v>
      </c>
      <c r="U360">
        <f>MONTH(tblTransactions[[#This Row],[Date]])</f>
        <v>2</v>
      </c>
      <c r="V360" t="str">
        <f>"Q"&amp;ROUNDUP(MONTH(tblTransactions[[#This Row],[Date]])/3,0)</f>
        <v>Q1</v>
      </c>
    </row>
    <row r="361" spans="1:22" x14ac:dyDescent="0.25">
      <c r="A361" t="s">
        <v>439</v>
      </c>
      <c r="B361" s="2">
        <v>46065</v>
      </c>
      <c r="C361">
        <v>2026</v>
      </c>
      <c r="D361" t="s">
        <v>42</v>
      </c>
      <c r="E361" t="s">
        <v>553</v>
      </c>
      <c r="F361" t="s">
        <v>24</v>
      </c>
      <c r="G361" t="s">
        <v>54</v>
      </c>
      <c r="H361" t="s">
        <v>55</v>
      </c>
      <c r="I361" t="s">
        <v>56</v>
      </c>
      <c r="J361" t="s">
        <v>38</v>
      </c>
      <c r="K361" t="s">
        <v>55</v>
      </c>
      <c r="L361" s="3">
        <v>1200700</v>
      </c>
      <c r="M361" s="3">
        <v>678100</v>
      </c>
      <c r="N361" t="s">
        <v>29</v>
      </c>
      <c r="O361" t="s">
        <v>66</v>
      </c>
      <c r="P361" t="s">
        <v>31</v>
      </c>
      <c r="Q361" t="s">
        <v>33</v>
      </c>
      <c r="R361" t="s">
        <v>33</v>
      </c>
      <c r="S361" s="3">
        <v>19804000</v>
      </c>
      <c r="T361" t="str">
        <f>TEXT(tblTransactions[[#This Row],[Date]],"mmm")</f>
        <v>Feb</v>
      </c>
      <c r="U361">
        <f>MONTH(tblTransactions[[#This Row],[Date]])</f>
        <v>2</v>
      </c>
      <c r="V361" t="str">
        <f>"Q"&amp;ROUNDUP(MONTH(tblTransactions[[#This Row],[Date]])/3,0)</f>
        <v>Q1</v>
      </c>
    </row>
    <row r="362" spans="1:22" x14ac:dyDescent="0.25">
      <c r="A362" t="s">
        <v>440</v>
      </c>
      <c r="B362" s="2">
        <v>46066</v>
      </c>
      <c r="C362">
        <v>2026</v>
      </c>
      <c r="D362" t="s">
        <v>23</v>
      </c>
      <c r="E362" t="s">
        <v>553</v>
      </c>
      <c r="F362" t="s">
        <v>24</v>
      </c>
      <c r="G362" t="s">
        <v>70</v>
      </c>
      <c r="H362" t="s">
        <v>71</v>
      </c>
      <c r="I362" t="s">
        <v>45</v>
      </c>
      <c r="J362" t="s">
        <v>92</v>
      </c>
      <c r="K362" t="s">
        <v>71</v>
      </c>
      <c r="L362" s="3">
        <v>1496900</v>
      </c>
      <c r="M362" s="3">
        <v>957200</v>
      </c>
      <c r="N362" t="s">
        <v>51</v>
      </c>
      <c r="O362" t="s">
        <v>98</v>
      </c>
      <c r="P362" t="s">
        <v>31</v>
      </c>
      <c r="Q362" t="s">
        <v>33</v>
      </c>
      <c r="R362" t="s">
        <v>32</v>
      </c>
      <c r="S362" s="3">
        <v>18307100</v>
      </c>
      <c r="T362" t="str">
        <f>TEXT(tblTransactions[[#This Row],[Date]],"mmm")</f>
        <v>Feb</v>
      </c>
      <c r="U362">
        <f>MONTH(tblTransactions[[#This Row],[Date]])</f>
        <v>2</v>
      </c>
      <c r="V362" t="str">
        <f>"Q"&amp;ROUNDUP(MONTH(tblTransactions[[#This Row],[Date]])/3,0)</f>
        <v>Q1</v>
      </c>
    </row>
    <row r="363" spans="1:22" x14ac:dyDescent="0.25">
      <c r="A363" t="s">
        <v>441</v>
      </c>
      <c r="B363" s="2">
        <v>46067</v>
      </c>
      <c r="C363">
        <v>2026</v>
      </c>
      <c r="D363" t="s">
        <v>68</v>
      </c>
      <c r="E363" t="s">
        <v>556</v>
      </c>
      <c r="F363" t="s">
        <v>24</v>
      </c>
      <c r="G363" t="s">
        <v>43</v>
      </c>
      <c r="H363" t="s">
        <v>44</v>
      </c>
      <c r="I363" t="s">
        <v>56</v>
      </c>
      <c r="J363" t="s">
        <v>38</v>
      </c>
      <c r="K363" t="s">
        <v>44</v>
      </c>
      <c r="L363" s="3">
        <v>1756500</v>
      </c>
      <c r="M363" s="3">
        <v>1508700</v>
      </c>
      <c r="N363" t="s">
        <v>51</v>
      </c>
      <c r="O363" t="s">
        <v>47</v>
      </c>
      <c r="P363" t="s">
        <v>31</v>
      </c>
      <c r="Q363" t="s">
        <v>33</v>
      </c>
      <c r="R363" t="s">
        <v>33</v>
      </c>
      <c r="S363" s="3">
        <v>16550600</v>
      </c>
      <c r="T363" t="str">
        <f>TEXT(tblTransactions[[#This Row],[Date]],"mmm")</f>
        <v>Feb</v>
      </c>
      <c r="U363">
        <f>MONTH(tblTransactions[[#This Row],[Date]])</f>
        <v>2</v>
      </c>
      <c r="V363" t="str">
        <f>"Q"&amp;ROUNDUP(MONTH(tblTransactions[[#This Row],[Date]])/3,0)</f>
        <v>Q1</v>
      </c>
    </row>
    <row r="364" spans="1:22" x14ac:dyDescent="0.25">
      <c r="A364" t="s">
        <v>442</v>
      </c>
      <c r="B364" s="2">
        <v>46068</v>
      </c>
      <c r="C364">
        <v>2026</v>
      </c>
      <c r="D364" t="s">
        <v>23</v>
      </c>
      <c r="E364" t="s">
        <v>552</v>
      </c>
      <c r="F364" t="s">
        <v>24</v>
      </c>
      <c r="G364" t="s">
        <v>70</v>
      </c>
      <c r="H364" t="s">
        <v>71</v>
      </c>
      <c r="I364" t="s">
        <v>27</v>
      </c>
      <c r="J364" t="s">
        <v>78</v>
      </c>
      <c r="K364" t="s">
        <v>71</v>
      </c>
      <c r="L364" s="3">
        <v>1784100</v>
      </c>
      <c r="M364" s="3">
        <v>1700200</v>
      </c>
      <c r="N364" t="s">
        <v>51</v>
      </c>
      <c r="O364" t="s">
        <v>40</v>
      </c>
      <c r="P364" t="s">
        <v>31</v>
      </c>
      <c r="Q364" t="s">
        <v>32</v>
      </c>
      <c r="R364" t="s">
        <v>33</v>
      </c>
      <c r="S364" s="3">
        <v>14766500</v>
      </c>
      <c r="T364" t="str">
        <f>TEXT(tblTransactions[[#This Row],[Date]],"mmm")</f>
        <v>Feb</v>
      </c>
      <c r="U364">
        <f>MONTH(tblTransactions[[#This Row],[Date]])</f>
        <v>2</v>
      </c>
      <c r="V364" t="str">
        <f>"Q"&amp;ROUNDUP(MONTH(tblTransactions[[#This Row],[Date]])/3,0)</f>
        <v>Q1</v>
      </c>
    </row>
    <row r="365" spans="1:22" x14ac:dyDescent="0.25">
      <c r="A365" t="s">
        <v>443</v>
      </c>
      <c r="B365" s="2">
        <v>46069</v>
      </c>
      <c r="C365">
        <v>2026</v>
      </c>
      <c r="D365" t="s">
        <v>23</v>
      </c>
      <c r="E365" t="s">
        <v>553</v>
      </c>
      <c r="F365" t="s">
        <v>24</v>
      </c>
      <c r="G365" t="s">
        <v>101</v>
      </c>
      <c r="H365" t="s">
        <v>102</v>
      </c>
      <c r="I365" t="s">
        <v>27</v>
      </c>
      <c r="J365" t="s">
        <v>38</v>
      </c>
      <c r="K365" t="s">
        <v>102</v>
      </c>
      <c r="L365" s="3">
        <v>1530700</v>
      </c>
      <c r="M365" s="3">
        <v>508400</v>
      </c>
      <c r="N365" t="s">
        <v>51</v>
      </c>
      <c r="O365" t="s">
        <v>30</v>
      </c>
      <c r="P365" t="s">
        <v>31</v>
      </c>
      <c r="Q365" t="s">
        <v>33</v>
      </c>
      <c r="R365" t="s">
        <v>33</v>
      </c>
      <c r="S365" s="3">
        <v>13235800</v>
      </c>
      <c r="T365" t="str">
        <f>TEXT(tblTransactions[[#This Row],[Date]],"mmm")</f>
        <v>Feb</v>
      </c>
      <c r="U365">
        <f>MONTH(tblTransactions[[#This Row],[Date]])</f>
        <v>2</v>
      </c>
      <c r="V365" t="str">
        <f>"Q"&amp;ROUNDUP(MONTH(tblTransactions[[#This Row],[Date]])/3,0)</f>
        <v>Q1</v>
      </c>
    </row>
    <row r="366" spans="1:22" x14ac:dyDescent="0.25">
      <c r="A366" t="s">
        <v>444</v>
      </c>
      <c r="B366" s="2">
        <v>46070</v>
      </c>
      <c r="C366">
        <v>2026</v>
      </c>
      <c r="D366" t="s">
        <v>42</v>
      </c>
      <c r="E366" t="s">
        <v>552</v>
      </c>
      <c r="F366" t="s">
        <v>35</v>
      </c>
      <c r="G366" t="s">
        <v>80</v>
      </c>
      <c r="H366" t="s">
        <v>81</v>
      </c>
      <c r="I366" t="s">
        <v>27</v>
      </c>
      <c r="J366" t="s">
        <v>92</v>
      </c>
      <c r="K366" t="s">
        <v>81</v>
      </c>
      <c r="L366" s="3">
        <v>3060400</v>
      </c>
      <c r="M366" s="3">
        <v>0</v>
      </c>
      <c r="N366" t="s">
        <v>58</v>
      </c>
      <c r="O366" t="s">
        <v>76</v>
      </c>
      <c r="P366" t="s">
        <v>31</v>
      </c>
      <c r="Q366" t="s">
        <v>33</v>
      </c>
      <c r="R366" t="s">
        <v>33</v>
      </c>
      <c r="S366" s="3">
        <v>16296200</v>
      </c>
      <c r="T366" t="str">
        <f>TEXT(tblTransactions[[#This Row],[Date]],"mmm")</f>
        <v>Feb</v>
      </c>
      <c r="U366">
        <f>MONTH(tblTransactions[[#This Row],[Date]])</f>
        <v>2</v>
      </c>
      <c r="V366" t="str">
        <f>"Q"&amp;ROUNDUP(MONTH(tblTransactions[[#This Row],[Date]])/3,0)</f>
        <v>Q1</v>
      </c>
    </row>
    <row r="367" spans="1:22" x14ac:dyDescent="0.25">
      <c r="A367" t="s">
        <v>445</v>
      </c>
      <c r="B367" s="2">
        <v>46072</v>
      </c>
      <c r="C367">
        <v>2026</v>
      </c>
      <c r="D367" t="s">
        <v>23</v>
      </c>
      <c r="E367" t="s">
        <v>557</v>
      </c>
      <c r="F367" t="s">
        <v>24</v>
      </c>
      <c r="G367" t="s">
        <v>107</v>
      </c>
      <c r="H367" t="s">
        <v>108</v>
      </c>
      <c r="I367" t="s">
        <v>27</v>
      </c>
      <c r="J367" t="s">
        <v>28</v>
      </c>
      <c r="K367" t="s">
        <v>108</v>
      </c>
      <c r="L367" s="3">
        <v>132000</v>
      </c>
      <c r="M367" s="3">
        <v>573700</v>
      </c>
      <c r="N367" t="s">
        <v>29</v>
      </c>
      <c r="O367" t="s">
        <v>47</v>
      </c>
      <c r="P367" t="s">
        <v>31</v>
      </c>
      <c r="Q367" t="s">
        <v>33</v>
      </c>
      <c r="R367" t="s">
        <v>33</v>
      </c>
      <c r="S367" s="3">
        <v>16164200</v>
      </c>
      <c r="T367" t="str">
        <f>TEXT(tblTransactions[[#This Row],[Date]],"mmm")</f>
        <v>Feb</v>
      </c>
      <c r="U367">
        <f>MONTH(tblTransactions[[#This Row],[Date]])</f>
        <v>2</v>
      </c>
      <c r="V367" t="str">
        <f>"Q"&amp;ROUNDUP(MONTH(tblTransactions[[#This Row],[Date]])/3,0)</f>
        <v>Q1</v>
      </c>
    </row>
    <row r="368" spans="1:22" x14ac:dyDescent="0.25">
      <c r="A368" t="s">
        <v>446</v>
      </c>
      <c r="B368" s="2">
        <v>46074</v>
      </c>
      <c r="C368">
        <v>2026</v>
      </c>
      <c r="D368" t="s">
        <v>68</v>
      </c>
      <c r="E368" t="s">
        <v>553</v>
      </c>
      <c r="F368" t="s">
        <v>35</v>
      </c>
      <c r="G368" t="s">
        <v>36</v>
      </c>
      <c r="H368" t="s">
        <v>36</v>
      </c>
      <c r="I368" t="s">
        <v>45</v>
      </c>
      <c r="J368" t="s">
        <v>64</v>
      </c>
      <c r="K368" t="s">
        <v>36</v>
      </c>
      <c r="L368" s="3">
        <v>2248900</v>
      </c>
      <c r="M368" s="3">
        <v>0</v>
      </c>
      <c r="N368" t="s">
        <v>29</v>
      </c>
      <c r="O368" t="s">
        <v>40</v>
      </c>
      <c r="P368" t="s">
        <v>31</v>
      </c>
      <c r="Q368" t="s">
        <v>33</v>
      </c>
      <c r="R368" t="s">
        <v>33</v>
      </c>
      <c r="S368" s="3">
        <v>18413100</v>
      </c>
      <c r="T368" t="str">
        <f>TEXT(tblTransactions[[#This Row],[Date]],"mmm")</f>
        <v>Feb</v>
      </c>
      <c r="U368">
        <f>MONTH(tblTransactions[[#This Row],[Date]])</f>
        <v>2</v>
      </c>
      <c r="V368" t="str">
        <f>"Q"&amp;ROUNDUP(MONTH(tblTransactions[[#This Row],[Date]])/3,0)</f>
        <v>Q1</v>
      </c>
    </row>
    <row r="369" spans="1:22" x14ac:dyDescent="0.25">
      <c r="A369" t="s">
        <v>447</v>
      </c>
      <c r="B369" s="2">
        <v>46075</v>
      </c>
      <c r="C369">
        <v>2026</v>
      </c>
      <c r="D369" t="s">
        <v>42</v>
      </c>
      <c r="E369" t="s">
        <v>557</v>
      </c>
      <c r="F369" t="s">
        <v>24</v>
      </c>
      <c r="G369" t="s">
        <v>74</v>
      </c>
      <c r="H369" t="s">
        <v>75</v>
      </c>
      <c r="I369" t="s">
        <v>50</v>
      </c>
      <c r="J369" t="s">
        <v>57</v>
      </c>
      <c r="K369" t="s">
        <v>75</v>
      </c>
      <c r="L369" s="3">
        <v>1667700</v>
      </c>
      <c r="M369" s="3">
        <v>754900</v>
      </c>
      <c r="N369" t="s">
        <v>39</v>
      </c>
      <c r="O369" t="s">
        <v>40</v>
      </c>
      <c r="P369" t="s">
        <v>31</v>
      </c>
      <c r="Q369" t="s">
        <v>32</v>
      </c>
      <c r="R369" t="s">
        <v>33</v>
      </c>
      <c r="S369" s="3">
        <v>16745400</v>
      </c>
      <c r="T369" t="str">
        <f>TEXT(tblTransactions[[#This Row],[Date]],"mmm")</f>
        <v>Feb</v>
      </c>
      <c r="U369">
        <f>MONTH(tblTransactions[[#This Row],[Date]])</f>
        <v>2</v>
      </c>
      <c r="V369" t="str">
        <f>"Q"&amp;ROUNDUP(MONTH(tblTransactions[[#This Row],[Date]])/3,0)</f>
        <v>Q1</v>
      </c>
    </row>
    <row r="370" spans="1:22" x14ac:dyDescent="0.25">
      <c r="A370" t="s">
        <v>448</v>
      </c>
      <c r="B370" s="2">
        <v>46076</v>
      </c>
      <c r="C370">
        <v>2026</v>
      </c>
      <c r="D370" t="s">
        <v>68</v>
      </c>
      <c r="E370" t="s">
        <v>552</v>
      </c>
      <c r="F370" t="s">
        <v>24</v>
      </c>
      <c r="G370" t="s">
        <v>43</v>
      </c>
      <c r="H370" t="s">
        <v>44</v>
      </c>
      <c r="I370" t="s">
        <v>37</v>
      </c>
      <c r="J370" t="s">
        <v>64</v>
      </c>
      <c r="K370" t="s">
        <v>44</v>
      </c>
      <c r="L370" s="3">
        <v>461600</v>
      </c>
      <c r="M370" s="3">
        <v>1165000</v>
      </c>
      <c r="N370" t="s">
        <v>58</v>
      </c>
      <c r="O370" t="s">
        <v>109</v>
      </c>
      <c r="P370" t="s">
        <v>31</v>
      </c>
      <c r="Q370" t="s">
        <v>33</v>
      </c>
      <c r="R370" t="s">
        <v>33</v>
      </c>
      <c r="S370" s="3">
        <v>16283800</v>
      </c>
      <c r="T370" t="str">
        <f>TEXT(tblTransactions[[#This Row],[Date]],"mmm")</f>
        <v>Feb</v>
      </c>
      <c r="U370">
        <f>MONTH(tblTransactions[[#This Row],[Date]])</f>
        <v>2</v>
      </c>
      <c r="V370" t="str">
        <f>"Q"&amp;ROUNDUP(MONTH(tblTransactions[[#This Row],[Date]])/3,0)</f>
        <v>Q1</v>
      </c>
    </row>
    <row r="371" spans="1:22" x14ac:dyDescent="0.25">
      <c r="A371" t="s">
        <v>449</v>
      </c>
      <c r="B371" s="2">
        <v>46078</v>
      </c>
      <c r="C371">
        <v>2026</v>
      </c>
      <c r="D371" t="s">
        <v>42</v>
      </c>
      <c r="E371" t="s">
        <v>552</v>
      </c>
      <c r="F371" t="s">
        <v>24</v>
      </c>
      <c r="G371" t="s">
        <v>107</v>
      </c>
      <c r="H371" t="s">
        <v>108</v>
      </c>
      <c r="I371" t="s">
        <v>37</v>
      </c>
      <c r="J371" t="s">
        <v>38</v>
      </c>
      <c r="K371" t="s">
        <v>108</v>
      </c>
      <c r="L371" s="3">
        <v>392900</v>
      </c>
      <c r="M371" s="3">
        <v>835900</v>
      </c>
      <c r="N371" t="s">
        <v>58</v>
      </c>
      <c r="O371" t="s">
        <v>60</v>
      </c>
      <c r="P371" t="s">
        <v>31</v>
      </c>
      <c r="Q371" t="s">
        <v>32</v>
      </c>
      <c r="R371" t="s">
        <v>33</v>
      </c>
      <c r="S371" s="3">
        <v>15890900</v>
      </c>
      <c r="T371" t="str">
        <f>TEXT(tblTransactions[[#This Row],[Date]],"mmm")</f>
        <v>Feb</v>
      </c>
      <c r="U371">
        <f>MONTH(tblTransactions[[#This Row],[Date]])</f>
        <v>2</v>
      </c>
      <c r="V371" t="str">
        <f>"Q"&amp;ROUNDUP(MONTH(tblTransactions[[#This Row],[Date]])/3,0)</f>
        <v>Q1</v>
      </c>
    </row>
    <row r="372" spans="1:22" x14ac:dyDescent="0.25">
      <c r="A372" t="s">
        <v>450</v>
      </c>
      <c r="B372" s="2">
        <v>46079</v>
      </c>
      <c r="C372">
        <v>2026</v>
      </c>
      <c r="D372" t="s">
        <v>23</v>
      </c>
      <c r="E372" t="s">
        <v>557</v>
      </c>
      <c r="F372" t="s">
        <v>24</v>
      </c>
      <c r="G372" t="s">
        <v>54</v>
      </c>
      <c r="H372" t="s">
        <v>55</v>
      </c>
      <c r="I372" t="s">
        <v>37</v>
      </c>
      <c r="J372" t="s">
        <v>28</v>
      </c>
      <c r="K372" t="s">
        <v>55</v>
      </c>
      <c r="L372" s="3">
        <v>800600</v>
      </c>
      <c r="M372" s="3">
        <v>176800</v>
      </c>
      <c r="N372" t="s">
        <v>58</v>
      </c>
      <c r="O372" t="s">
        <v>47</v>
      </c>
      <c r="P372" t="s">
        <v>31</v>
      </c>
      <c r="Q372" t="s">
        <v>32</v>
      </c>
      <c r="R372" t="s">
        <v>33</v>
      </c>
      <c r="S372" s="3">
        <v>15090300</v>
      </c>
      <c r="T372" t="str">
        <f>TEXT(tblTransactions[[#This Row],[Date]],"mmm")</f>
        <v>Feb</v>
      </c>
      <c r="U372">
        <f>MONTH(tblTransactions[[#This Row],[Date]])</f>
        <v>2</v>
      </c>
      <c r="V372" t="str">
        <f>"Q"&amp;ROUNDUP(MONTH(tblTransactions[[#This Row],[Date]])/3,0)</f>
        <v>Q1</v>
      </c>
    </row>
    <row r="373" spans="1:22" x14ac:dyDescent="0.25">
      <c r="A373" t="s">
        <v>451</v>
      </c>
      <c r="B373" s="2">
        <v>46080</v>
      </c>
      <c r="C373">
        <v>2026</v>
      </c>
      <c r="D373" t="s">
        <v>68</v>
      </c>
      <c r="E373" t="s">
        <v>554</v>
      </c>
      <c r="F373" t="s">
        <v>24</v>
      </c>
      <c r="G373" t="s">
        <v>62</v>
      </c>
      <c r="H373" t="s">
        <v>63</v>
      </c>
      <c r="I373" t="s">
        <v>56</v>
      </c>
      <c r="J373" t="s">
        <v>46</v>
      </c>
      <c r="K373" t="s">
        <v>63</v>
      </c>
      <c r="L373" s="3">
        <v>95700</v>
      </c>
      <c r="M373" s="3">
        <v>1016100</v>
      </c>
      <c r="N373" t="s">
        <v>58</v>
      </c>
      <c r="O373" t="s">
        <v>60</v>
      </c>
      <c r="P373" t="s">
        <v>31</v>
      </c>
      <c r="Q373" t="s">
        <v>33</v>
      </c>
      <c r="R373" t="s">
        <v>33</v>
      </c>
      <c r="S373" s="3">
        <v>14994600</v>
      </c>
      <c r="T373" t="str">
        <f>TEXT(tblTransactions[[#This Row],[Date]],"mmm")</f>
        <v>Feb</v>
      </c>
      <c r="U373">
        <f>MONTH(tblTransactions[[#This Row],[Date]])</f>
        <v>2</v>
      </c>
      <c r="V373" t="str">
        <f>"Q"&amp;ROUNDUP(MONTH(tblTransactions[[#This Row],[Date]])/3,0)</f>
        <v>Q1</v>
      </c>
    </row>
    <row r="374" spans="1:22" x14ac:dyDescent="0.25">
      <c r="A374" t="s">
        <v>452</v>
      </c>
      <c r="B374" s="2">
        <v>46081</v>
      </c>
      <c r="C374">
        <v>2026</v>
      </c>
      <c r="D374" t="s">
        <v>68</v>
      </c>
      <c r="E374" t="s">
        <v>553</v>
      </c>
      <c r="F374" t="s">
        <v>24</v>
      </c>
      <c r="G374" t="s">
        <v>54</v>
      </c>
      <c r="H374" t="s">
        <v>55</v>
      </c>
      <c r="I374" t="s">
        <v>56</v>
      </c>
      <c r="J374" t="s">
        <v>92</v>
      </c>
      <c r="K374" t="s">
        <v>55</v>
      </c>
      <c r="L374" s="3">
        <v>961900</v>
      </c>
      <c r="M374" s="3">
        <v>1793600</v>
      </c>
      <c r="N374" t="s">
        <v>39</v>
      </c>
      <c r="O374" t="s">
        <v>98</v>
      </c>
      <c r="P374" t="s">
        <v>31</v>
      </c>
      <c r="Q374" t="s">
        <v>32</v>
      </c>
      <c r="R374" t="s">
        <v>33</v>
      </c>
      <c r="S374" s="3">
        <v>14032700</v>
      </c>
      <c r="T374" t="str">
        <f>TEXT(tblTransactions[[#This Row],[Date]],"mmm")</f>
        <v>Feb</v>
      </c>
      <c r="U374">
        <f>MONTH(tblTransactions[[#This Row],[Date]])</f>
        <v>2</v>
      </c>
      <c r="V374" t="str">
        <f>"Q"&amp;ROUNDUP(MONTH(tblTransactions[[#This Row],[Date]])/3,0)</f>
        <v>Q1</v>
      </c>
    </row>
    <row r="375" spans="1:22" x14ac:dyDescent="0.25">
      <c r="A375" t="s">
        <v>453</v>
      </c>
      <c r="B375" s="2">
        <v>46082</v>
      </c>
      <c r="C375">
        <v>2026</v>
      </c>
      <c r="D375" t="s">
        <v>42</v>
      </c>
      <c r="E375" t="s">
        <v>556</v>
      </c>
      <c r="F375" t="s">
        <v>35</v>
      </c>
      <c r="G375" t="s">
        <v>80</v>
      </c>
      <c r="H375" t="s">
        <v>81</v>
      </c>
      <c r="I375" t="s">
        <v>42</v>
      </c>
      <c r="J375" t="s">
        <v>87</v>
      </c>
      <c r="K375" t="s">
        <v>81</v>
      </c>
      <c r="L375" s="3">
        <v>4629400</v>
      </c>
      <c r="M375" s="3">
        <v>0</v>
      </c>
      <c r="N375" t="s">
        <v>51</v>
      </c>
      <c r="O375" t="s">
        <v>66</v>
      </c>
      <c r="P375" t="s">
        <v>31</v>
      </c>
      <c r="Q375" t="s">
        <v>33</v>
      </c>
      <c r="R375" t="s">
        <v>33</v>
      </c>
      <c r="S375" s="3">
        <v>18662100</v>
      </c>
      <c r="T375" t="str">
        <f>TEXT(tblTransactions[[#This Row],[Date]],"mmm")</f>
        <v>Mar</v>
      </c>
      <c r="U375">
        <f>MONTH(tblTransactions[[#This Row],[Date]])</f>
        <v>3</v>
      </c>
      <c r="V375" t="str">
        <f>"Q"&amp;ROUNDUP(MONTH(tblTransactions[[#This Row],[Date]])/3,0)</f>
        <v>Q1</v>
      </c>
    </row>
    <row r="376" spans="1:22" x14ac:dyDescent="0.25">
      <c r="A376" t="s">
        <v>454</v>
      </c>
      <c r="B376" s="2">
        <v>46083</v>
      </c>
      <c r="C376">
        <v>2026</v>
      </c>
      <c r="D376" t="s">
        <v>23</v>
      </c>
      <c r="E376" t="s">
        <v>555</v>
      </c>
      <c r="F376" t="s">
        <v>24</v>
      </c>
      <c r="G376" t="s">
        <v>70</v>
      </c>
      <c r="H376" t="s">
        <v>71</v>
      </c>
      <c r="I376" t="s">
        <v>27</v>
      </c>
      <c r="J376" t="s">
        <v>57</v>
      </c>
      <c r="K376" t="s">
        <v>71</v>
      </c>
      <c r="L376" s="3">
        <v>1242800</v>
      </c>
      <c r="M376" s="3">
        <v>927800</v>
      </c>
      <c r="N376" t="s">
        <v>58</v>
      </c>
      <c r="O376" t="s">
        <v>76</v>
      </c>
      <c r="P376" t="s">
        <v>31</v>
      </c>
      <c r="Q376" t="s">
        <v>33</v>
      </c>
      <c r="R376" t="s">
        <v>33</v>
      </c>
      <c r="S376" s="3">
        <v>17419300</v>
      </c>
      <c r="T376" t="str">
        <f>TEXT(tblTransactions[[#This Row],[Date]],"mmm")</f>
        <v>Mar</v>
      </c>
      <c r="U376">
        <f>MONTH(tblTransactions[[#This Row],[Date]])</f>
        <v>3</v>
      </c>
      <c r="V376" t="str">
        <f>"Q"&amp;ROUNDUP(MONTH(tblTransactions[[#This Row],[Date]])/3,0)</f>
        <v>Q1</v>
      </c>
    </row>
    <row r="377" spans="1:22" x14ac:dyDescent="0.25">
      <c r="A377" t="s">
        <v>455</v>
      </c>
      <c r="B377" s="2">
        <v>46084</v>
      </c>
      <c r="C377">
        <v>2026</v>
      </c>
      <c r="D377" t="s">
        <v>23</v>
      </c>
      <c r="E377" t="s">
        <v>552</v>
      </c>
      <c r="F377" t="s">
        <v>24</v>
      </c>
      <c r="G377" t="s">
        <v>54</v>
      </c>
      <c r="H377" t="s">
        <v>55</v>
      </c>
      <c r="I377" t="s">
        <v>27</v>
      </c>
      <c r="J377" t="s">
        <v>87</v>
      </c>
      <c r="K377" t="s">
        <v>55</v>
      </c>
      <c r="L377" s="3">
        <v>602100</v>
      </c>
      <c r="M377" s="3">
        <v>1810100</v>
      </c>
      <c r="N377" t="s">
        <v>39</v>
      </c>
      <c r="O377" t="s">
        <v>66</v>
      </c>
      <c r="P377" t="s">
        <v>31</v>
      </c>
      <c r="Q377" t="s">
        <v>32</v>
      </c>
      <c r="R377" t="s">
        <v>33</v>
      </c>
      <c r="S377" s="3">
        <v>16817200</v>
      </c>
      <c r="T377" t="str">
        <f>TEXT(tblTransactions[[#This Row],[Date]],"mmm")</f>
        <v>Mar</v>
      </c>
      <c r="U377">
        <f>MONTH(tblTransactions[[#This Row],[Date]])</f>
        <v>3</v>
      </c>
      <c r="V377" t="str">
        <f>"Q"&amp;ROUNDUP(MONTH(tblTransactions[[#This Row],[Date]])/3,0)</f>
        <v>Q1</v>
      </c>
    </row>
    <row r="378" spans="1:22" x14ac:dyDescent="0.25">
      <c r="A378" t="s">
        <v>456</v>
      </c>
      <c r="B378" s="2">
        <v>46085</v>
      </c>
      <c r="C378">
        <v>2026</v>
      </c>
      <c r="D378" t="s">
        <v>68</v>
      </c>
      <c r="E378" t="s">
        <v>554</v>
      </c>
      <c r="F378" t="s">
        <v>24</v>
      </c>
      <c r="G378" t="s">
        <v>101</v>
      </c>
      <c r="H378" t="s">
        <v>102</v>
      </c>
      <c r="I378" t="s">
        <v>50</v>
      </c>
      <c r="J378" t="s">
        <v>57</v>
      </c>
      <c r="K378" t="s">
        <v>102</v>
      </c>
      <c r="L378" s="3">
        <v>1123100</v>
      </c>
      <c r="M378" s="3">
        <v>610600</v>
      </c>
      <c r="N378" t="s">
        <v>51</v>
      </c>
      <c r="O378" t="s">
        <v>40</v>
      </c>
      <c r="P378" t="s">
        <v>31</v>
      </c>
      <c r="Q378" t="s">
        <v>33</v>
      </c>
      <c r="R378" t="s">
        <v>33</v>
      </c>
      <c r="S378" s="3">
        <v>15694100</v>
      </c>
      <c r="T378" t="str">
        <f>TEXT(tblTransactions[[#This Row],[Date]],"mmm")</f>
        <v>Mar</v>
      </c>
      <c r="U378">
        <f>MONTH(tblTransactions[[#This Row],[Date]])</f>
        <v>3</v>
      </c>
      <c r="V378" t="str">
        <f>"Q"&amp;ROUNDUP(MONTH(tblTransactions[[#This Row],[Date]])/3,0)</f>
        <v>Q1</v>
      </c>
    </row>
    <row r="379" spans="1:22" x14ac:dyDescent="0.25">
      <c r="A379" t="s">
        <v>457</v>
      </c>
      <c r="B379" s="2">
        <v>46086</v>
      </c>
      <c r="C379">
        <v>2026</v>
      </c>
      <c r="D379" t="s">
        <v>23</v>
      </c>
      <c r="E379" t="s">
        <v>555</v>
      </c>
      <c r="F379" t="s">
        <v>24</v>
      </c>
      <c r="G379" t="s">
        <v>107</v>
      </c>
      <c r="H379" t="s">
        <v>108</v>
      </c>
      <c r="I379" t="s">
        <v>56</v>
      </c>
      <c r="J379" t="s">
        <v>87</v>
      </c>
      <c r="K379" t="s">
        <v>108</v>
      </c>
      <c r="L379" s="3">
        <v>205300</v>
      </c>
      <c r="M379" s="3">
        <v>205000</v>
      </c>
      <c r="N379" t="s">
        <v>51</v>
      </c>
      <c r="O379" t="s">
        <v>30</v>
      </c>
      <c r="P379" t="s">
        <v>31</v>
      </c>
      <c r="Q379" t="s">
        <v>33</v>
      </c>
      <c r="R379" t="s">
        <v>33</v>
      </c>
      <c r="S379" s="3">
        <v>15488800</v>
      </c>
      <c r="T379" t="str">
        <f>TEXT(tblTransactions[[#This Row],[Date]],"mmm")</f>
        <v>Mar</v>
      </c>
      <c r="U379">
        <f>MONTH(tblTransactions[[#This Row],[Date]])</f>
        <v>3</v>
      </c>
      <c r="V379" t="str">
        <f>"Q"&amp;ROUNDUP(MONTH(tblTransactions[[#This Row],[Date]])/3,0)</f>
        <v>Q1</v>
      </c>
    </row>
    <row r="380" spans="1:22" x14ac:dyDescent="0.25">
      <c r="A380" t="s">
        <v>458</v>
      </c>
      <c r="B380" s="2">
        <v>46087</v>
      </c>
      <c r="C380">
        <v>2026</v>
      </c>
      <c r="D380" t="s">
        <v>42</v>
      </c>
      <c r="E380" t="s">
        <v>557</v>
      </c>
      <c r="F380" t="s">
        <v>24</v>
      </c>
      <c r="G380" t="s">
        <v>43</v>
      </c>
      <c r="H380" t="s">
        <v>44</v>
      </c>
      <c r="I380" t="s">
        <v>50</v>
      </c>
      <c r="J380" t="s">
        <v>46</v>
      </c>
      <c r="K380" t="s">
        <v>44</v>
      </c>
      <c r="L380" s="3">
        <v>859400</v>
      </c>
      <c r="M380" s="3">
        <v>518200</v>
      </c>
      <c r="N380" t="s">
        <v>29</v>
      </c>
      <c r="O380" t="s">
        <v>30</v>
      </c>
      <c r="P380" t="s">
        <v>31</v>
      </c>
      <c r="Q380" t="s">
        <v>33</v>
      </c>
      <c r="R380" t="s">
        <v>32</v>
      </c>
      <c r="S380" s="3">
        <v>14629400</v>
      </c>
      <c r="T380" t="str">
        <f>TEXT(tblTransactions[[#This Row],[Date]],"mmm")</f>
        <v>Mar</v>
      </c>
      <c r="U380">
        <f>MONTH(tblTransactions[[#This Row],[Date]])</f>
        <v>3</v>
      </c>
      <c r="V380" t="str">
        <f>"Q"&amp;ROUNDUP(MONTH(tblTransactions[[#This Row],[Date]])/3,0)</f>
        <v>Q1</v>
      </c>
    </row>
    <row r="381" spans="1:22" x14ac:dyDescent="0.25">
      <c r="A381" t="s">
        <v>459</v>
      </c>
      <c r="B381" s="2">
        <v>46089</v>
      </c>
      <c r="C381">
        <v>2026</v>
      </c>
      <c r="D381" t="s">
        <v>42</v>
      </c>
      <c r="E381" t="s">
        <v>557</v>
      </c>
      <c r="F381" t="s">
        <v>35</v>
      </c>
      <c r="G381" t="s">
        <v>80</v>
      </c>
      <c r="H381" t="s">
        <v>81</v>
      </c>
      <c r="I381" t="s">
        <v>50</v>
      </c>
      <c r="J381" t="s">
        <v>78</v>
      </c>
      <c r="K381" t="s">
        <v>81</v>
      </c>
      <c r="L381" s="3">
        <v>7537700</v>
      </c>
      <c r="M381" s="3">
        <v>0</v>
      </c>
      <c r="N381" t="s">
        <v>58</v>
      </c>
      <c r="O381" t="s">
        <v>60</v>
      </c>
      <c r="P381" t="s">
        <v>31</v>
      </c>
      <c r="Q381" t="s">
        <v>33</v>
      </c>
      <c r="R381" t="s">
        <v>32</v>
      </c>
      <c r="S381" s="3">
        <v>22167100</v>
      </c>
      <c r="T381" t="str">
        <f>TEXT(tblTransactions[[#This Row],[Date]],"mmm")</f>
        <v>Mar</v>
      </c>
      <c r="U381">
        <f>MONTH(tblTransactions[[#This Row],[Date]])</f>
        <v>3</v>
      </c>
      <c r="V381" t="str">
        <f>"Q"&amp;ROUNDUP(MONTH(tblTransactions[[#This Row],[Date]])/3,0)</f>
        <v>Q1</v>
      </c>
    </row>
    <row r="382" spans="1:22" x14ac:dyDescent="0.25">
      <c r="A382" t="s">
        <v>460</v>
      </c>
      <c r="B382" s="2">
        <v>46090</v>
      </c>
      <c r="C382">
        <v>2026</v>
      </c>
      <c r="D382" t="s">
        <v>23</v>
      </c>
      <c r="E382" t="s">
        <v>554</v>
      </c>
      <c r="F382" t="s">
        <v>24</v>
      </c>
      <c r="G382" t="s">
        <v>74</v>
      </c>
      <c r="H382" t="s">
        <v>75</v>
      </c>
      <c r="I382" t="s">
        <v>56</v>
      </c>
      <c r="J382" t="s">
        <v>92</v>
      </c>
      <c r="K382" t="s">
        <v>75</v>
      </c>
      <c r="L382" s="3">
        <v>186400</v>
      </c>
      <c r="M382" s="3">
        <v>1564800</v>
      </c>
      <c r="N382" t="s">
        <v>39</v>
      </c>
      <c r="O382" t="s">
        <v>66</v>
      </c>
      <c r="P382" t="s">
        <v>31</v>
      </c>
      <c r="Q382" t="s">
        <v>33</v>
      </c>
      <c r="R382" t="s">
        <v>33</v>
      </c>
      <c r="S382" s="3">
        <v>21980700</v>
      </c>
      <c r="T382" t="str">
        <f>TEXT(tblTransactions[[#This Row],[Date]],"mmm")</f>
        <v>Mar</v>
      </c>
      <c r="U382">
        <f>MONTH(tblTransactions[[#This Row],[Date]])</f>
        <v>3</v>
      </c>
      <c r="V382" t="str">
        <f>"Q"&amp;ROUNDUP(MONTH(tblTransactions[[#This Row],[Date]])/3,0)</f>
        <v>Q1</v>
      </c>
    </row>
    <row r="383" spans="1:22" x14ac:dyDescent="0.25">
      <c r="A383" t="s">
        <v>461</v>
      </c>
      <c r="B383" s="2">
        <v>46091</v>
      </c>
      <c r="C383">
        <v>2026</v>
      </c>
      <c r="D383" t="s">
        <v>68</v>
      </c>
      <c r="E383" t="s">
        <v>557</v>
      </c>
      <c r="F383" t="s">
        <v>24</v>
      </c>
      <c r="G383" t="s">
        <v>70</v>
      </c>
      <c r="H383" t="s">
        <v>71</v>
      </c>
      <c r="I383" t="s">
        <v>50</v>
      </c>
      <c r="J383" t="s">
        <v>57</v>
      </c>
      <c r="K383" t="s">
        <v>71</v>
      </c>
      <c r="L383" s="3">
        <v>1456900</v>
      </c>
      <c r="M383" s="3">
        <v>263900</v>
      </c>
      <c r="N383" t="s">
        <v>58</v>
      </c>
      <c r="O383" t="s">
        <v>40</v>
      </c>
      <c r="P383" t="s">
        <v>31</v>
      </c>
      <c r="Q383" t="s">
        <v>32</v>
      </c>
      <c r="R383" t="s">
        <v>33</v>
      </c>
      <c r="S383" s="3">
        <v>20523800</v>
      </c>
      <c r="T383" t="str">
        <f>TEXT(tblTransactions[[#This Row],[Date]],"mmm")</f>
        <v>Mar</v>
      </c>
      <c r="U383">
        <f>MONTH(tblTransactions[[#This Row],[Date]])</f>
        <v>3</v>
      </c>
      <c r="V383" t="str">
        <f>"Q"&amp;ROUNDUP(MONTH(tblTransactions[[#This Row],[Date]])/3,0)</f>
        <v>Q1</v>
      </c>
    </row>
    <row r="384" spans="1:22" x14ac:dyDescent="0.25">
      <c r="A384" t="s">
        <v>462</v>
      </c>
      <c r="B384" s="2">
        <v>46092</v>
      </c>
      <c r="C384">
        <v>2026</v>
      </c>
      <c r="D384" t="s">
        <v>23</v>
      </c>
      <c r="E384" t="s">
        <v>553</v>
      </c>
      <c r="F384" t="s">
        <v>35</v>
      </c>
      <c r="G384" t="s">
        <v>80</v>
      </c>
      <c r="H384" t="s">
        <v>81</v>
      </c>
      <c r="I384" t="s">
        <v>42</v>
      </c>
      <c r="J384" t="s">
        <v>78</v>
      </c>
      <c r="K384" t="s">
        <v>81</v>
      </c>
      <c r="L384" s="3">
        <v>3986300</v>
      </c>
      <c r="M384" s="3">
        <v>0</v>
      </c>
      <c r="N384" t="s">
        <v>58</v>
      </c>
      <c r="O384" t="s">
        <v>109</v>
      </c>
      <c r="P384" t="s">
        <v>31</v>
      </c>
      <c r="Q384" t="s">
        <v>33</v>
      </c>
      <c r="R384" t="s">
        <v>33</v>
      </c>
      <c r="S384" s="3">
        <v>24510100</v>
      </c>
      <c r="T384" t="str">
        <f>TEXT(tblTransactions[[#This Row],[Date]],"mmm")</f>
        <v>Mar</v>
      </c>
      <c r="U384">
        <f>MONTH(tblTransactions[[#This Row],[Date]])</f>
        <v>3</v>
      </c>
      <c r="V384" t="str">
        <f>"Q"&amp;ROUNDUP(MONTH(tblTransactions[[#This Row],[Date]])/3,0)</f>
        <v>Q1</v>
      </c>
    </row>
    <row r="385" spans="1:22" x14ac:dyDescent="0.25">
      <c r="A385" t="s">
        <v>463</v>
      </c>
      <c r="B385" s="2">
        <v>46093</v>
      </c>
      <c r="C385">
        <v>2026</v>
      </c>
      <c r="D385" t="s">
        <v>68</v>
      </c>
      <c r="E385" t="s">
        <v>557</v>
      </c>
      <c r="F385" t="s">
        <v>35</v>
      </c>
      <c r="G385" t="s">
        <v>80</v>
      </c>
      <c r="H385" t="s">
        <v>81</v>
      </c>
      <c r="I385" t="s">
        <v>37</v>
      </c>
      <c r="J385" t="s">
        <v>46</v>
      </c>
      <c r="K385" t="s">
        <v>81</v>
      </c>
      <c r="L385" s="3">
        <v>6763900</v>
      </c>
      <c r="M385" s="3">
        <v>0</v>
      </c>
      <c r="N385" t="s">
        <v>58</v>
      </c>
      <c r="O385" t="s">
        <v>72</v>
      </c>
      <c r="P385" t="s">
        <v>31</v>
      </c>
      <c r="Q385" t="s">
        <v>32</v>
      </c>
      <c r="R385" t="s">
        <v>33</v>
      </c>
      <c r="S385" s="3">
        <v>31274000</v>
      </c>
      <c r="T385" t="str">
        <f>TEXT(tblTransactions[[#This Row],[Date]],"mmm")</f>
        <v>Mar</v>
      </c>
      <c r="U385">
        <f>MONTH(tblTransactions[[#This Row],[Date]])</f>
        <v>3</v>
      </c>
      <c r="V385" t="str">
        <f>"Q"&amp;ROUNDUP(MONTH(tblTransactions[[#This Row],[Date]])/3,0)</f>
        <v>Q1</v>
      </c>
    </row>
    <row r="386" spans="1:22" x14ac:dyDescent="0.25">
      <c r="A386" t="s">
        <v>464</v>
      </c>
      <c r="B386" s="2">
        <v>46094</v>
      </c>
      <c r="C386">
        <v>2026</v>
      </c>
      <c r="D386" t="s">
        <v>23</v>
      </c>
      <c r="E386" t="s">
        <v>553</v>
      </c>
      <c r="F386" t="s">
        <v>35</v>
      </c>
      <c r="G386" t="s">
        <v>95</v>
      </c>
      <c r="H386" t="s">
        <v>96</v>
      </c>
      <c r="I386" t="s">
        <v>45</v>
      </c>
      <c r="J386" t="s">
        <v>64</v>
      </c>
      <c r="K386" t="s">
        <v>96</v>
      </c>
      <c r="L386" s="3">
        <v>6882400</v>
      </c>
      <c r="M386" s="3">
        <v>0</v>
      </c>
      <c r="N386" t="s">
        <v>29</v>
      </c>
      <c r="O386" t="s">
        <v>66</v>
      </c>
      <c r="P386" t="s">
        <v>31</v>
      </c>
      <c r="Q386" t="s">
        <v>33</v>
      </c>
      <c r="R386" t="s">
        <v>33</v>
      </c>
      <c r="S386" s="3">
        <v>38156400</v>
      </c>
      <c r="T386" t="str">
        <f>TEXT(tblTransactions[[#This Row],[Date]],"mmm")</f>
        <v>Mar</v>
      </c>
      <c r="U386">
        <f>MONTH(tblTransactions[[#This Row],[Date]])</f>
        <v>3</v>
      </c>
      <c r="V386" t="str">
        <f>"Q"&amp;ROUNDUP(MONTH(tblTransactions[[#This Row],[Date]])/3,0)</f>
        <v>Q1</v>
      </c>
    </row>
    <row r="387" spans="1:22" x14ac:dyDescent="0.25">
      <c r="A387" t="s">
        <v>465</v>
      </c>
      <c r="B387" s="2">
        <v>46095</v>
      </c>
      <c r="C387">
        <v>2026</v>
      </c>
      <c r="D387" t="s">
        <v>42</v>
      </c>
      <c r="E387" t="s">
        <v>557</v>
      </c>
      <c r="F387" t="s">
        <v>24</v>
      </c>
      <c r="G387" t="s">
        <v>70</v>
      </c>
      <c r="H387" t="s">
        <v>71</v>
      </c>
      <c r="I387" t="s">
        <v>27</v>
      </c>
      <c r="J387" t="s">
        <v>115</v>
      </c>
      <c r="K387" t="s">
        <v>71</v>
      </c>
      <c r="L387" s="3">
        <v>39900</v>
      </c>
      <c r="M387" s="3">
        <v>1222700</v>
      </c>
      <c r="N387" t="s">
        <v>39</v>
      </c>
      <c r="O387" t="s">
        <v>60</v>
      </c>
      <c r="P387" t="s">
        <v>31</v>
      </c>
      <c r="Q387" t="s">
        <v>33</v>
      </c>
      <c r="R387" t="s">
        <v>33</v>
      </c>
      <c r="S387" s="3">
        <v>38116500</v>
      </c>
      <c r="T387" t="str">
        <f>TEXT(tblTransactions[[#This Row],[Date]],"mmm")</f>
        <v>Mar</v>
      </c>
      <c r="U387">
        <f>MONTH(tblTransactions[[#This Row],[Date]])</f>
        <v>3</v>
      </c>
      <c r="V387" t="str">
        <f>"Q"&amp;ROUNDUP(MONTH(tblTransactions[[#This Row],[Date]])/3,0)</f>
        <v>Q1</v>
      </c>
    </row>
    <row r="388" spans="1:22" x14ac:dyDescent="0.25">
      <c r="A388" t="s">
        <v>466</v>
      </c>
      <c r="B388" s="2">
        <v>46096</v>
      </c>
      <c r="C388">
        <v>2026</v>
      </c>
      <c r="D388" t="s">
        <v>68</v>
      </c>
      <c r="E388" t="s">
        <v>557</v>
      </c>
      <c r="F388" t="s">
        <v>24</v>
      </c>
      <c r="G388" t="s">
        <v>43</v>
      </c>
      <c r="H388" t="s">
        <v>44</v>
      </c>
      <c r="I388" t="s">
        <v>37</v>
      </c>
      <c r="J388" t="s">
        <v>28</v>
      </c>
      <c r="K388" t="s">
        <v>44</v>
      </c>
      <c r="L388" s="3">
        <v>267200</v>
      </c>
      <c r="M388" s="3">
        <v>1997200</v>
      </c>
      <c r="N388" t="s">
        <v>29</v>
      </c>
      <c r="O388" t="s">
        <v>76</v>
      </c>
      <c r="P388" t="s">
        <v>31</v>
      </c>
      <c r="Q388" t="s">
        <v>32</v>
      </c>
      <c r="R388" t="s">
        <v>32</v>
      </c>
      <c r="S388" s="3">
        <v>37849300</v>
      </c>
      <c r="T388" t="str">
        <f>TEXT(tblTransactions[[#This Row],[Date]],"mmm")</f>
        <v>Mar</v>
      </c>
      <c r="U388">
        <f>MONTH(tblTransactions[[#This Row],[Date]])</f>
        <v>3</v>
      </c>
      <c r="V388" t="str">
        <f>"Q"&amp;ROUNDUP(MONTH(tblTransactions[[#This Row],[Date]])/3,0)</f>
        <v>Q1</v>
      </c>
    </row>
    <row r="389" spans="1:22" x14ac:dyDescent="0.25">
      <c r="A389" t="s">
        <v>467</v>
      </c>
      <c r="B389" s="2">
        <v>46097</v>
      </c>
      <c r="C389">
        <v>2026</v>
      </c>
      <c r="D389" t="s">
        <v>23</v>
      </c>
      <c r="E389" t="s">
        <v>556</v>
      </c>
      <c r="F389" t="s">
        <v>24</v>
      </c>
      <c r="G389" t="s">
        <v>74</v>
      </c>
      <c r="H389" t="s">
        <v>75</v>
      </c>
      <c r="I389" t="s">
        <v>42</v>
      </c>
      <c r="J389" t="s">
        <v>78</v>
      </c>
      <c r="K389" t="s">
        <v>75</v>
      </c>
      <c r="L389" s="3">
        <v>1116900</v>
      </c>
      <c r="M389" s="3">
        <v>708700</v>
      </c>
      <c r="N389" t="s">
        <v>58</v>
      </c>
      <c r="O389" t="s">
        <v>60</v>
      </c>
      <c r="P389" t="s">
        <v>31</v>
      </c>
      <c r="Q389" t="s">
        <v>32</v>
      </c>
      <c r="R389" t="s">
        <v>33</v>
      </c>
      <c r="S389" s="3">
        <v>36732400</v>
      </c>
      <c r="T389" t="str">
        <f>TEXT(tblTransactions[[#This Row],[Date]],"mmm")</f>
        <v>Mar</v>
      </c>
      <c r="U389">
        <f>MONTH(tblTransactions[[#This Row],[Date]])</f>
        <v>3</v>
      </c>
      <c r="V389" t="str">
        <f>"Q"&amp;ROUNDUP(MONTH(tblTransactions[[#This Row],[Date]])/3,0)</f>
        <v>Q1</v>
      </c>
    </row>
    <row r="390" spans="1:22" x14ac:dyDescent="0.25">
      <c r="A390" t="s">
        <v>468</v>
      </c>
      <c r="B390" s="2">
        <v>46098</v>
      </c>
      <c r="C390">
        <v>2026</v>
      </c>
      <c r="D390" t="s">
        <v>23</v>
      </c>
      <c r="E390" t="s">
        <v>554</v>
      </c>
      <c r="F390" t="s">
        <v>24</v>
      </c>
      <c r="G390" t="s">
        <v>43</v>
      </c>
      <c r="H390" t="s">
        <v>44</v>
      </c>
      <c r="I390" t="s">
        <v>27</v>
      </c>
      <c r="J390" t="s">
        <v>92</v>
      </c>
      <c r="K390" t="s">
        <v>44</v>
      </c>
      <c r="L390" s="3">
        <v>1817100</v>
      </c>
      <c r="M390" s="3">
        <v>1433300</v>
      </c>
      <c r="N390" t="s">
        <v>29</v>
      </c>
      <c r="O390" t="s">
        <v>40</v>
      </c>
      <c r="P390" t="s">
        <v>31</v>
      </c>
      <c r="Q390" t="s">
        <v>33</v>
      </c>
      <c r="R390" t="s">
        <v>33</v>
      </c>
      <c r="S390" s="3">
        <v>34915300</v>
      </c>
      <c r="T390" t="str">
        <f>TEXT(tblTransactions[[#This Row],[Date]],"mmm")</f>
        <v>Mar</v>
      </c>
      <c r="U390">
        <f>MONTH(tblTransactions[[#This Row],[Date]])</f>
        <v>3</v>
      </c>
      <c r="V390" t="str">
        <f>"Q"&amp;ROUNDUP(MONTH(tblTransactions[[#This Row],[Date]])/3,0)</f>
        <v>Q1</v>
      </c>
    </row>
    <row r="391" spans="1:22" x14ac:dyDescent="0.25">
      <c r="A391" t="s">
        <v>469</v>
      </c>
      <c r="B391" s="2">
        <v>46099</v>
      </c>
      <c r="C391">
        <v>2026</v>
      </c>
      <c r="D391" t="s">
        <v>42</v>
      </c>
      <c r="E391" t="s">
        <v>553</v>
      </c>
      <c r="F391" t="s">
        <v>24</v>
      </c>
      <c r="G391" t="s">
        <v>74</v>
      </c>
      <c r="H391" t="s">
        <v>75</v>
      </c>
      <c r="I391" t="s">
        <v>45</v>
      </c>
      <c r="J391" t="s">
        <v>28</v>
      </c>
      <c r="K391" t="s">
        <v>75</v>
      </c>
      <c r="L391" s="3">
        <v>1391400</v>
      </c>
      <c r="M391" s="3">
        <v>1956400</v>
      </c>
      <c r="N391" t="s">
        <v>51</v>
      </c>
      <c r="O391" t="s">
        <v>47</v>
      </c>
      <c r="P391" t="s">
        <v>31</v>
      </c>
      <c r="Q391" t="s">
        <v>33</v>
      </c>
      <c r="R391" t="s">
        <v>33</v>
      </c>
      <c r="S391" s="3">
        <v>33523900</v>
      </c>
      <c r="T391" t="str">
        <f>TEXT(tblTransactions[[#This Row],[Date]],"mmm")</f>
        <v>Mar</v>
      </c>
      <c r="U391">
        <f>MONTH(tblTransactions[[#This Row],[Date]])</f>
        <v>3</v>
      </c>
      <c r="V391" t="str">
        <f>"Q"&amp;ROUNDUP(MONTH(tblTransactions[[#This Row],[Date]])/3,0)</f>
        <v>Q1</v>
      </c>
    </row>
    <row r="392" spans="1:22" x14ac:dyDescent="0.25">
      <c r="A392" t="s">
        <v>470</v>
      </c>
      <c r="B392" s="2">
        <v>46100</v>
      </c>
      <c r="C392">
        <v>2026</v>
      </c>
      <c r="D392" t="s">
        <v>68</v>
      </c>
      <c r="E392" t="s">
        <v>557</v>
      </c>
      <c r="F392" t="s">
        <v>35</v>
      </c>
      <c r="G392" t="s">
        <v>49</v>
      </c>
      <c r="H392" t="s">
        <v>49</v>
      </c>
      <c r="I392" t="s">
        <v>27</v>
      </c>
      <c r="J392" t="s">
        <v>87</v>
      </c>
      <c r="K392" t="s">
        <v>49</v>
      </c>
      <c r="L392" s="3">
        <v>5946700</v>
      </c>
      <c r="M392" s="3">
        <v>0</v>
      </c>
      <c r="N392" t="s">
        <v>29</v>
      </c>
      <c r="O392" t="s">
        <v>109</v>
      </c>
      <c r="P392" t="s">
        <v>31</v>
      </c>
      <c r="Q392" t="s">
        <v>32</v>
      </c>
      <c r="R392" t="s">
        <v>33</v>
      </c>
      <c r="S392" s="3">
        <v>39470600</v>
      </c>
      <c r="T392" t="str">
        <f>TEXT(tblTransactions[[#This Row],[Date]],"mmm")</f>
        <v>Mar</v>
      </c>
      <c r="U392">
        <f>MONTH(tblTransactions[[#This Row],[Date]])</f>
        <v>3</v>
      </c>
      <c r="V392" t="str">
        <f>"Q"&amp;ROUNDUP(MONTH(tblTransactions[[#This Row],[Date]])/3,0)</f>
        <v>Q1</v>
      </c>
    </row>
    <row r="393" spans="1:22" x14ac:dyDescent="0.25">
      <c r="A393" t="s">
        <v>471</v>
      </c>
      <c r="B393" s="2">
        <v>46101</v>
      </c>
      <c r="C393">
        <v>2026</v>
      </c>
      <c r="D393" t="s">
        <v>42</v>
      </c>
      <c r="E393" t="s">
        <v>556</v>
      </c>
      <c r="F393" t="s">
        <v>35</v>
      </c>
      <c r="G393" t="s">
        <v>80</v>
      </c>
      <c r="H393" t="s">
        <v>81</v>
      </c>
      <c r="I393" t="s">
        <v>50</v>
      </c>
      <c r="J393" t="s">
        <v>87</v>
      </c>
      <c r="K393" t="s">
        <v>81</v>
      </c>
      <c r="L393" s="3">
        <v>6720700</v>
      </c>
      <c r="M393" s="3">
        <v>0</v>
      </c>
      <c r="N393" t="s">
        <v>51</v>
      </c>
      <c r="O393" t="s">
        <v>40</v>
      </c>
      <c r="P393" t="s">
        <v>31</v>
      </c>
      <c r="Q393" t="s">
        <v>33</v>
      </c>
      <c r="R393" t="s">
        <v>32</v>
      </c>
      <c r="S393" s="3">
        <v>46191300</v>
      </c>
      <c r="T393" t="str">
        <f>TEXT(tblTransactions[[#This Row],[Date]],"mmm")</f>
        <v>Mar</v>
      </c>
      <c r="U393">
        <f>MONTH(tblTransactions[[#This Row],[Date]])</f>
        <v>3</v>
      </c>
      <c r="V393" t="str">
        <f>"Q"&amp;ROUNDUP(MONTH(tblTransactions[[#This Row],[Date]])/3,0)</f>
        <v>Q1</v>
      </c>
    </row>
    <row r="394" spans="1:22" x14ac:dyDescent="0.25">
      <c r="A394" t="s">
        <v>472</v>
      </c>
      <c r="B394" s="2">
        <v>46102</v>
      </c>
      <c r="C394">
        <v>2026</v>
      </c>
      <c r="D394" t="s">
        <v>23</v>
      </c>
      <c r="E394" t="s">
        <v>553</v>
      </c>
      <c r="F394" t="s">
        <v>24</v>
      </c>
      <c r="G394" t="s">
        <v>70</v>
      </c>
      <c r="H394" t="s">
        <v>71</v>
      </c>
      <c r="I394" t="s">
        <v>45</v>
      </c>
      <c r="J394" t="s">
        <v>92</v>
      </c>
      <c r="K394" t="s">
        <v>71</v>
      </c>
      <c r="L394" s="3">
        <v>1350100</v>
      </c>
      <c r="M394" s="3">
        <v>1485100</v>
      </c>
      <c r="N394" t="s">
        <v>39</v>
      </c>
      <c r="O394" t="s">
        <v>109</v>
      </c>
      <c r="P394" t="s">
        <v>31</v>
      </c>
      <c r="Q394" t="s">
        <v>33</v>
      </c>
      <c r="R394" t="s">
        <v>33</v>
      </c>
      <c r="S394" s="3">
        <v>44841200</v>
      </c>
      <c r="T394" t="str">
        <f>TEXT(tblTransactions[[#This Row],[Date]],"mmm")</f>
        <v>Mar</v>
      </c>
      <c r="U394">
        <f>MONTH(tblTransactions[[#This Row],[Date]])</f>
        <v>3</v>
      </c>
      <c r="V394" t="str">
        <f>"Q"&amp;ROUNDUP(MONTH(tblTransactions[[#This Row],[Date]])/3,0)</f>
        <v>Q1</v>
      </c>
    </row>
    <row r="395" spans="1:22" x14ac:dyDescent="0.25">
      <c r="A395" t="s">
        <v>473</v>
      </c>
      <c r="B395" s="2">
        <v>46103</v>
      </c>
      <c r="C395">
        <v>2026</v>
      </c>
      <c r="D395" t="s">
        <v>68</v>
      </c>
      <c r="E395" t="s">
        <v>553</v>
      </c>
      <c r="F395" t="s">
        <v>24</v>
      </c>
      <c r="G395" t="s">
        <v>74</v>
      </c>
      <c r="H395" t="s">
        <v>75</v>
      </c>
      <c r="I395" t="s">
        <v>56</v>
      </c>
      <c r="J395" t="s">
        <v>115</v>
      </c>
      <c r="K395" t="s">
        <v>75</v>
      </c>
      <c r="L395" s="3">
        <v>107700</v>
      </c>
      <c r="M395" s="3">
        <v>1119100</v>
      </c>
      <c r="N395" t="s">
        <v>29</v>
      </c>
      <c r="O395" t="s">
        <v>52</v>
      </c>
      <c r="P395" t="s">
        <v>31</v>
      </c>
      <c r="Q395" t="s">
        <v>33</v>
      </c>
      <c r="R395" t="s">
        <v>33</v>
      </c>
      <c r="S395" s="3">
        <v>44733500</v>
      </c>
      <c r="T395" t="str">
        <f>TEXT(tblTransactions[[#This Row],[Date]],"mmm")</f>
        <v>Mar</v>
      </c>
      <c r="U395">
        <f>MONTH(tblTransactions[[#This Row],[Date]])</f>
        <v>3</v>
      </c>
      <c r="V395" t="str">
        <f>"Q"&amp;ROUNDUP(MONTH(tblTransactions[[#This Row],[Date]])/3,0)</f>
        <v>Q1</v>
      </c>
    </row>
    <row r="396" spans="1:22" x14ac:dyDescent="0.25">
      <c r="A396" t="s">
        <v>474</v>
      </c>
      <c r="B396" s="2">
        <v>46104</v>
      </c>
      <c r="C396">
        <v>2026</v>
      </c>
      <c r="D396" t="s">
        <v>23</v>
      </c>
      <c r="E396" t="s">
        <v>553</v>
      </c>
      <c r="F396" t="s">
        <v>24</v>
      </c>
      <c r="G396" t="s">
        <v>74</v>
      </c>
      <c r="H396" t="s">
        <v>75</v>
      </c>
      <c r="I396" t="s">
        <v>42</v>
      </c>
      <c r="J396" t="s">
        <v>115</v>
      </c>
      <c r="K396" t="s">
        <v>75</v>
      </c>
      <c r="L396" s="3">
        <v>1966500</v>
      </c>
      <c r="M396" s="3">
        <v>1435600</v>
      </c>
      <c r="N396" t="s">
        <v>29</v>
      </c>
      <c r="O396" t="s">
        <v>52</v>
      </c>
      <c r="P396" t="s">
        <v>31</v>
      </c>
      <c r="Q396" t="s">
        <v>32</v>
      </c>
      <c r="R396" t="s">
        <v>33</v>
      </c>
      <c r="S396" s="3">
        <v>42767000</v>
      </c>
      <c r="T396" t="str">
        <f>TEXT(tblTransactions[[#This Row],[Date]],"mmm")</f>
        <v>Mar</v>
      </c>
      <c r="U396">
        <f>MONTH(tblTransactions[[#This Row],[Date]])</f>
        <v>3</v>
      </c>
      <c r="V396" t="str">
        <f>"Q"&amp;ROUNDUP(MONTH(tblTransactions[[#This Row],[Date]])/3,0)</f>
        <v>Q1</v>
      </c>
    </row>
    <row r="397" spans="1:22" x14ac:dyDescent="0.25">
      <c r="A397" t="s">
        <v>475</v>
      </c>
      <c r="B397" s="2">
        <v>46107</v>
      </c>
      <c r="C397">
        <v>2026</v>
      </c>
      <c r="D397" t="s">
        <v>42</v>
      </c>
      <c r="E397" t="s">
        <v>554</v>
      </c>
      <c r="F397" t="s">
        <v>24</v>
      </c>
      <c r="G397" t="s">
        <v>74</v>
      </c>
      <c r="H397" t="s">
        <v>75</v>
      </c>
      <c r="I397" t="s">
        <v>37</v>
      </c>
      <c r="J397" t="s">
        <v>115</v>
      </c>
      <c r="K397" t="s">
        <v>75</v>
      </c>
      <c r="L397" s="3">
        <v>229500</v>
      </c>
      <c r="M397" s="3">
        <v>1753000</v>
      </c>
      <c r="N397" t="s">
        <v>29</v>
      </c>
      <c r="O397" t="s">
        <v>30</v>
      </c>
      <c r="P397" t="s">
        <v>31</v>
      </c>
      <c r="Q397" t="s">
        <v>33</v>
      </c>
      <c r="R397" t="s">
        <v>33</v>
      </c>
      <c r="S397" s="3">
        <v>42537500</v>
      </c>
      <c r="T397" t="str">
        <f>TEXT(tblTransactions[[#This Row],[Date]],"mmm")</f>
        <v>Mar</v>
      </c>
      <c r="U397">
        <f>MONTH(tblTransactions[[#This Row],[Date]])</f>
        <v>3</v>
      </c>
      <c r="V397" t="str">
        <f>"Q"&amp;ROUNDUP(MONTH(tblTransactions[[#This Row],[Date]])/3,0)</f>
        <v>Q1</v>
      </c>
    </row>
    <row r="398" spans="1:22" x14ac:dyDescent="0.25">
      <c r="A398" t="s">
        <v>476</v>
      </c>
      <c r="B398" s="2">
        <v>46108</v>
      </c>
      <c r="C398">
        <v>2026</v>
      </c>
      <c r="D398" t="s">
        <v>42</v>
      </c>
      <c r="E398" t="s">
        <v>557</v>
      </c>
      <c r="F398" t="s">
        <v>24</v>
      </c>
      <c r="G398" t="s">
        <v>74</v>
      </c>
      <c r="H398" t="s">
        <v>75</v>
      </c>
      <c r="I398" t="s">
        <v>50</v>
      </c>
      <c r="J398" t="s">
        <v>28</v>
      </c>
      <c r="K398" t="s">
        <v>75</v>
      </c>
      <c r="L398" s="3">
        <v>1548100</v>
      </c>
      <c r="M398" s="3">
        <v>404600</v>
      </c>
      <c r="N398" t="s">
        <v>51</v>
      </c>
      <c r="O398" t="s">
        <v>109</v>
      </c>
      <c r="P398" t="s">
        <v>31</v>
      </c>
      <c r="Q398" t="s">
        <v>32</v>
      </c>
      <c r="R398" t="s">
        <v>33</v>
      </c>
      <c r="S398" s="3">
        <v>40989400</v>
      </c>
      <c r="T398" t="str">
        <f>TEXT(tblTransactions[[#This Row],[Date]],"mmm")</f>
        <v>Mar</v>
      </c>
      <c r="U398">
        <f>MONTH(tblTransactions[[#This Row],[Date]])</f>
        <v>3</v>
      </c>
      <c r="V398" t="str">
        <f>"Q"&amp;ROUNDUP(MONTH(tblTransactions[[#This Row],[Date]])/3,0)</f>
        <v>Q1</v>
      </c>
    </row>
    <row r="399" spans="1:22" x14ac:dyDescent="0.25">
      <c r="A399" t="s">
        <v>477</v>
      </c>
      <c r="B399" s="2">
        <v>46109</v>
      </c>
      <c r="C399">
        <v>2026</v>
      </c>
      <c r="D399" t="s">
        <v>68</v>
      </c>
      <c r="E399" t="s">
        <v>555</v>
      </c>
      <c r="F399" t="s">
        <v>24</v>
      </c>
      <c r="G399" t="s">
        <v>43</v>
      </c>
      <c r="H399" t="s">
        <v>44</v>
      </c>
      <c r="I399" t="s">
        <v>37</v>
      </c>
      <c r="J399" t="s">
        <v>57</v>
      </c>
      <c r="K399" t="s">
        <v>44</v>
      </c>
      <c r="L399" s="3">
        <v>760700</v>
      </c>
      <c r="M399" s="3">
        <v>548100</v>
      </c>
      <c r="N399" t="s">
        <v>51</v>
      </c>
      <c r="O399" t="s">
        <v>66</v>
      </c>
      <c r="P399" t="s">
        <v>31</v>
      </c>
      <c r="Q399" t="s">
        <v>32</v>
      </c>
      <c r="R399" t="s">
        <v>33</v>
      </c>
      <c r="S399" s="3">
        <v>40228700</v>
      </c>
      <c r="T399" t="str">
        <f>TEXT(tblTransactions[[#This Row],[Date]],"mmm")</f>
        <v>Mar</v>
      </c>
      <c r="U399">
        <f>MONTH(tblTransactions[[#This Row],[Date]])</f>
        <v>3</v>
      </c>
      <c r="V399" t="str">
        <f>"Q"&amp;ROUNDUP(MONTH(tblTransactions[[#This Row],[Date]])/3,0)</f>
        <v>Q1</v>
      </c>
    </row>
    <row r="400" spans="1:22" x14ac:dyDescent="0.25">
      <c r="A400" t="s">
        <v>478</v>
      </c>
      <c r="B400" s="2">
        <v>46110</v>
      </c>
      <c r="C400">
        <v>2026</v>
      </c>
      <c r="D400" t="s">
        <v>23</v>
      </c>
      <c r="E400" t="s">
        <v>556</v>
      </c>
      <c r="F400" t="s">
        <v>35</v>
      </c>
      <c r="G400" t="s">
        <v>49</v>
      </c>
      <c r="H400" t="s">
        <v>49</v>
      </c>
      <c r="I400" t="s">
        <v>42</v>
      </c>
      <c r="J400" t="s">
        <v>57</v>
      </c>
      <c r="K400" t="s">
        <v>49</v>
      </c>
      <c r="L400" s="3">
        <v>5344700</v>
      </c>
      <c r="M400" s="3">
        <v>0</v>
      </c>
      <c r="N400" t="s">
        <v>51</v>
      </c>
      <c r="O400" t="s">
        <v>76</v>
      </c>
      <c r="P400" t="s">
        <v>31</v>
      </c>
      <c r="Q400" t="s">
        <v>32</v>
      </c>
      <c r="R400" t="s">
        <v>33</v>
      </c>
      <c r="S400" s="3">
        <v>45573400</v>
      </c>
      <c r="T400" t="str">
        <f>TEXT(tblTransactions[[#This Row],[Date]],"mmm")</f>
        <v>Mar</v>
      </c>
      <c r="U400">
        <f>MONTH(tblTransactions[[#This Row],[Date]])</f>
        <v>3</v>
      </c>
      <c r="V400" t="str">
        <f>"Q"&amp;ROUNDUP(MONTH(tblTransactions[[#This Row],[Date]])/3,0)</f>
        <v>Q1</v>
      </c>
    </row>
    <row r="401" spans="1:22" x14ac:dyDescent="0.25">
      <c r="A401" t="s">
        <v>479</v>
      </c>
      <c r="B401" s="2">
        <v>46111</v>
      </c>
      <c r="C401">
        <v>2026</v>
      </c>
      <c r="D401" t="s">
        <v>23</v>
      </c>
      <c r="E401" t="s">
        <v>557</v>
      </c>
      <c r="F401" t="s">
        <v>24</v>
      </c>
      <c r="G401" t="s">
        <v>70</v>
      </c>
      <c r="H401" t="s">
        <v>71</v>
      </c>
      <c r="I401" t="s">
        <v>42</v>
      </c>
      <c r="J401" t="s">
        <v>64</v>
      </c>
      <c r="K401" t="s">
        <v>71</v>
      </c>
      <c r="L401" s="3">
        <v>399100</v>
      </c>
      <c r="M401" s="3">
        <v>586200</v>
      </c>
      <c r="N401" t="s">
        <v>51</v>
      </c>
      <c r="O401" t="s">
        <v>72</v>
      </c>
      <c r="P401" t="s">
        <v>31</v>
      </c>
      <c r="Q401" t="s">
        <v>32</v>
      </c>
      <c r="R401" t="s">
        <v>33</v>
      </c>
      <c r="S401" s="3">
        <v>45174300</v>
      </c>
      <c r="T401" t="str">
        <f>TEXT(tblTransactions[[#This Row],[Date]],"mmm")</f>
        <v>Mar</v>
      </c>
      <c r="U401">
        <f>MONTH(tblTransactions[[#This Row],[Date]])</f>
        <v>3</v>
      </c>
      <c r="V401" t="str">
        <f>"Q"&amp;ROUNDUP(MONTH(tblTransactions[[#This Row],[Date]])/3,0)</f>
        <v>Q1</v>
      </c>
    </row>
    <row r="402" spans="1:22" x14ac:dyDescent="0.25">
      <c r="A402" t="s">
        <v>480</v>
      </c>
      <c r="B402" s="2">
        <v>46112</v>
      </c>
      <c r="C402">
        <v>2026</v>
      </c>
      <c r="D402" t="s">
        <v>42</v>
      </c>
      <c r="E402" t="s">
        <v>556</v>
      </c>
      <c r="F402" t="s">
        <v>24</v>
      </c>
      <c r="G402" t="s">
        <v>25</v>
      </c>
      <c r="H402" t="s">
        <v>26</v>
      </c>
      <c r="I402" t="s">
        <v>56</v>
      </c>
      <c r="J402" t="s">
        <v>87</v>
      </c>
      <c r="K402" t="s">
        <v>26</v>
      </c>
      <c r="L402" s="3">
        <v>1494100</v>
      </c>
      <c r="M402" s="3">
        <v>1876900</v>
      </c>
      <c r="N402" t="s">
        <v>58</v>
      </c>
      <c r="O402" t="s">
        <v>60</v>
      </c>
      <c r="P402" t="s">
        <v>31</v>
      </c>
      <c r="Q402" t="s">
        <v>33</v>
      </c>
      <c r="R402" t="s">
        <v>33</v>
      </c>
      <c r="S402" s="3">
        <v>43680200</v>
      </c>
      <c r="T402" t="str">
        <f>TEXT(tblTransactions[[#This Row],[Date]],"mmm")</f>
        <v>Mar</v>
      </c>
      <c r="U402">
        <f>MONTH(tblTransactions[[#This Row],[Date]])</f>
        <v>3</v>
      </c>
      <c r="V402" t="str">
        <f>"Q"&amp;ROUNDUP(MONTH(tblTransactions[[#This Row],[Date]])/3,0)</f>
        <v>Q1</v>
      </c>
    </row>
    <row r="403" spans="1:22" x14ac:dyDescent="0.25">
      <c r="A403" t="s">
        <v>481</v>
      </c>
      <c r="B403" s="2">
        <v>46113</v>
      </c>
      <c r="C403">
        <v>2026</v>
      </c>
      <c r="D403" t="s">
        <v>23</v>
      </c>
      <c r="E403" t="s">
        <v>552</v>
      </c>
      <c r="F403" t="s">
        <v>24</v>
      </c>
      <c r="G403" t="s">
        <v>62</v>
      </c>
      <c r="H403" t="s">
        <v>63</v>
      </c>
      <c r="I403" t="s">
        <v>56</v>
      </c>
      <c r="J403" t="s">
        <v>115</v>
      </c>
      <c r="K403" t="s">
        <v>63</v>
      </c>
      <c r="L403" s="3">
        <v>1706100</v>
      </c>
      <c r="M403" s="3">
        <v>1054000</v>
      </c>
      <c r="N403" t="s">
        <v>29</v>
      </c>
      <c r="O403" t="s">
        <v>52</v>
      </c>
      <c r="P403" t="s">
        <v>31</v>
      </c>
      <c r="Q403" t="s">
        <v>33</v>
      </c>
      <c r="R403" t="s">
        <v>33</v>
      </c>
      <c r="S403" s="3">
        <v>41974100</v>
      </c>
      <c r="T403" t="str">
        <f>TEXT(tblTransactions[[#This Row],[Date]],"mmm")</f>
        <v>Apr</v>
      </c>
      <c r="U403">
        <f>MONTH(tblTransactions[[#This Row],[Date]])</f>
        <v>4</v>
      </c>
      <c r="V403" t="str">
        <f>"Q"&amp;ROUNDUP(MONTH(tblTransactions[[#This Row],[Date]])/3,0)</f>
        <v>Q2</v>
      </c>
    </row>
    <row r="404" spans="1:22" x14ac:dyDescent="0.25">
      <c r="A404" t="s">
        <v>482</v>
      </c>
      <c r="B404" s="2">
        <v>46114</v>
      </c>
      <c r="C404">
        <v>2026</v>
      </c>
      <c r="D404" t="s">
        <v>23</v>
      </c>
      <c r="E404" t="s">
        <v>555</v>
      </c>
      <c r="F404" t="s">
        <v>24</v>
      </c>
      <c r="G404" t="s">
        <v>43</v>
      </c>
      <c r="H404" t="s">
        <v>44</v>
      </c>
      <c r="I404" t="s">
        <v>45</v>
      </c>
      <c r="J404" t="s">
        <v>28</v>
      </c>
      <c r="K404" t="s">
        <v>44</v>
      </c>
      <c r="L404" s="3">
        <v>1102700</v>
      </c>
      <c r="M404" s="3">
        <v>223800</v>
      </c>
      <c r="N404" t="s">
        <v>51</v>
      </c>
      <c r="O404" t="s">
        <v>60</v>
      </c>
      <c r="P404" t="s">
        <v>31</v>
      </c>
      <c r="Q404" t="s">
        <v>33</v>
      </c>
      <c r="R404" t="s">
        <v>33</v>
      </c>
      <c r="S404" s="3">
        <v>40871400</v>
      </c>
      <c r="T404" t="str">
        <f>TEXT(tblTransactions[[#This Row],[Date]],"mmm")</f>
        <v>Apr</v>
      </c>
      <c r="U404">
        <f>MONTH(tblTransactions[[#This Row],[Date]])</f>
        <v>4</v>
      </c>
      <c r="V404" t="str">
        <f>"Q"&amp;ROUNDUP(MONTH(tblTransactions[[#This Row],[Date]])/3,0)</f>
        <v>Q2</v>
      </c>
    </row>
    <row r="405" spans="1:22" x14ac:dyDescent="0.25">
      <c r="A405" t="s">
        <v>483</v>
      </c>
      <c r="B405" s="2">
        <v>46115</v>
      </c>
      <c r="C405">
        <v>2026</v>
      </c>
      <c r="D405" t="s">
        <v>42</v>
      </c>
      <c r="E405" t="s">
        <v>557</v>
      </c>
      <c r="F405" t="s">
        <v>35</v>
      </c>
      <c r="G405" t="s">
        <v>36</v>
      </c>
      <c r="H405" t="s">
        <v>36</v>
      </c>
      <c r="I405" t="s">
        <v>45</v>
      </c>
      <c r="J405" t="s">
        <v>38</v>
      </c>
      <c r="K405" t="s">
        <v>36</v>
      </c>
      <c r="L405" s="3">
        <v>7994400</v>
      </c>
      <c r="M405" s="3">
        <v>0</v>
      </c>
      <c r="N405" t="s">
        <v>29</v>
      </c>
      <c r="O405" t="s">
        <v>60</v>
      </c>
      <c r="P405" t="s">
        <v>31</v>
      </c>
      <c r="Q405" t="s">
        <v>32</v>
      </c>
      <c r="R405" t="s">
        <v>33</v>
      </c>
      <c r="S405" s="3">
        <v>48865800</v>
      </c>
      <c r="T405" t="str">
        <f>TEXT(tblTransactions[[#This Row],[Date]],"mmm")</f>
        <v>Apr</v>
      </c>
      <c r="U405">
        <f>MONTH(tblTransactions[[#This Row],[Date]])</f>
        <v>4</v>
      </c>
      <c r="V405" t="str">
        <f>"Q"&amp;ROUNDUP(MONTH(tblTransactions[[#This Row],[Date]])/3,0)</f>
        <v>Q2</v>
      </c>
    </row>
    <row r="406" spans="1:22" x14ac:dyDescent="0.25">
      <c r="A406" t="s">
        <v>484</v>
      </c>
      <c r="B406" s="2">
        <v>46116</v>
      </c>
      <c r="C406">
        <v>2026</v>
      </c>
      <c r="D406" t="s">
        <v>68</v>
      </c>
      <c r="E406" t="s">
        <v>557</v>
      </c>
      <c r="F406" t="s">
        <v>24</v>
      </c>
      <c r="G406" t="s">
        <v>74</v>
      </c>
      <c r="H406" t="s">
        <v>75</v>
      </c>
      <c r="I406" t="s">
        <v>56</v>
      </c>
      <c r="J406" t="s">
        <v>64</v>
      </c>
      <c r="K406" t="s">
        <v>75</v>
      </c>
      <c r="L406" s="3">
        <v>47300</v>
      </c>
      <c r="M406" s="3">
        <v>1790500</v>
      </c>
      <c r="N406" t="s">
        <v>39</v>
      </c>
      <c r="O406" t="s">
        <v>76</v>
      </c>
      <c r="P406" t="s">
        <v>31</v>
      </c>
      <c r="Q406" t="s">
        <v>33</v>
      </c>
      <c r="R406" t="s">
        <v>33</v>
      </c>
      <c r="S406" s="3">
        <v>48818500</v>
      </c>
      <c r="T406" t="str">
        <f>TEXT(tblTransactions[[#This Row],[Date]],"mmm")</f>
        <v>Apr</v>
      </c>
      <c r="U406">
        <f>MONTH(tblTransactions[[#This Row],[Date]])</f>
        <v>4</v>
      </c>
      <c r="V406" t="str">
        <f>"Q"&amp;ROUNDUP(MONTH(tblTransactions[[#This Row],[Date]])/3,0)</f>
        <v>Q2</v>
      </c>
    </row>
    <row r="407" spans="1:22" x14ac:dyDescent="0.25">
      <c r="A407" t="s">
        <v>485</v>
      </c>
      <c r="B407" s="2">
        <v>46117</v>
      </c>
      <c r="C407">
        <v>2026</v>
      </c>
      <c r="D407" t="s">
        <v>68</v>
      </c>
      <c r="E407" t="s">
        <v>557</v>
      </c>
      <c r="F407" t="s">
        <v>24</v>
      </c>
      <c r="G407" t="s">
        <v>74</v>
      </c>
      <c r="H407" t="s">
        <v>75</v>
      </c>
      <c r="I407" t="s">
        <v>27</v>
      </c>
      <c r="J407" t="s">
        <v>78</v>
      </c>
      <c r="K407" t="s">
        <v>75</v>
      </c>
      <c r="L407" s="3">
        <v>545100</v>
      </c>
      <c r="M407" s="3">
        <v>309800</v>
      </c>
      <c r="N407" t="s">
        <v>39</v>
      </c>
      <c r="O407" t="s">
        <v>40</v>
      </c>
      <c r="P407" t="s">
        <v>31</v>
      </c>
      <c r="Q407" t="s">
        <v>33</v>
      </c>
      <c r="R407" t="s">
        <v>33</v>
      </c>
      <c r="S407" s="3">
        <v>48273400</v>
      </c>
      <c r="T407" t="str">
        <f>TEXT(tblTransactions[[#This Row],[Date]],"mmm")</f>
        <v>Apr</v>
      </c>
      <c r="U407">
        <f>MONTH(tblTransactions[[#This Row],[Date]])</f>
        <v>4</v>
      </c>
      <c r="V407" t="str">
        <f>"Q"&amp;ROUNDUP(MONTH(tblTransactions[[#This Row],[Date]])/3,0)</f>
        <v>Q2</v>
      </c>
    </row>
    <row r="408" spans="1:22" x14ac:dyDescent="0.25">
      <c r="A408" t="s">
        <v>486</v>
      </c>
      <c r="B408" s="2">
        <v>46118</v>
      </c>
      <c r="C408">
        <v>2026</v>
      </c>
      <c r="D408" t="s">
        <v>23</v>
      </c>
      <c r="E408" t="s">
        <v>554</v>
      </c>
      <c r="F408" t="s">
        <v>24</v>
      </c>
      <c r="G408" t="s">
        <v>62</v>
      </c>
      <c r="H408" t="s">
        <v>63</v>
      </c>
      <c r="I408" t="s">
        <v>45</v>
      </c>
      <c r="J408" t="s">
        <v>64</v>
      </c>
      <c r="K408" t="s">
        <v>63</v>
      </c>
      <c r="L408" s="3">
        <v>1342000</v>
      </c>
      <c r="M408" s="3">
        <v>1530100</v>
      </c>
      <c r="N408" t="s">
        <v>29</v>
      </c>
      <c r="O408" t="s">
        <v>60</v>
      </c>
      <c r="P408" t="s">
        <v>31</v>
      </c>
      <c r="Q408" t="s">
        <v>33</v>
      </c>
      <c r="R408" t="s">
        <v>33</v>
      </c>
      <c r="S408" s="3">
        <v>46931400</v>
      </c>
      <c r="T408" t="str">
        <f>TEXT(tblTransactions[[#This Row],[Date]],"mmm")</f>
        <v>Apr</v>
      </c>
      <c r="U408">
        <f>MONTH(tblTransactions[[#This Row],[Date]])</f>
        <v>4</v>
      </c>
      <c r="V408" t="str">
        <f>"Q"&amp;ROUNDUP(MONTH(tblTransactions[[#This Row],[Date]])/3,0)</f>
        <v>Q2</v>
      </c>
    </row>
    <row r="409" spans="1:22" x14ac:dyDescent="0.25">
      <c r="A409" t="s">
        <v>487</v>
      </c>
      <c r="B409" s="2">
        <v>46119</v>
      </c>
      <c r="C409">
        <v>2026</v>
      </c>
      <c r="D409" t="s">
        <v>42</v>
      </c>
      <c r="E409" t="s">
        <v>556</v>
      </c>
      <c r="F409" t="s">
        <v>24</v>
      </c>
      <c r="G409" t="s">
        <v>107</v>
      </c>
      <c r="H409" t="s">
        <v>108</v>
      </c>
      <c r="I409" t="s">
        <v>27</v>
      </c>
      <c r="J409" t="s">
        <v>57</v>
      </c>
      <c r="K409" t="s">
        <v>108</v>
      </c>
      <c r="L409" s="3">
        <v>287400</v>
      </c>
      <c r="M409" s="3">
        <v>1919200</v>
      </c>
      <c r="N409" t="s">
        <v>39</v>
      </c>
      <c r="O409" t="s">
        <v>109</v>
      </c>
      <c r="P409" t="s">
        <v>31</v>
      </c>
      <c r="Q409" t="s">
        <v>32</v>
      </c>
      <c r="R409" t="s">
        <v>33</v>
      </c>
      <c r="S409" s="3">
        <v>46644000</v>
      </c>
      <c r="T409" t="str">
        <f>TEXT(tblTransactions[[#This Row],[Date]],"mmm")</f>
        <v>Apr</v>
      </c>
      <c r="U409">
        <f>MONTH(tblTransactions[[#This Row],[Date]])</f>
        <v>4</v>
      </c>
      <c r="V409" t="str">
        <f>"Q"&amp;ROUNDUP(MONTH(tblTransactions[[#This Row],[Date]])/3,0)</f>
        <v>Q2</v>
      </c>
    </row>
    <row r="410" spans="1:22" x14ac:dyDescent="0.25">
      <c r="A410" t="s">
        <v>488</v>
      </c>
      <c r="B410" s="2">
        <v>46120</v>
      </c>
      <c r="C410">
        <v>2026</v>
      </c>
      <c r="D410" t="s">
        <v>23</v>
      </c>
      <c r="E410" t="s">
        <v>557</v>
      </c>
      <c r="F410" t="s">
        <v>24</v>
      </c>
      <c r="G410" t="s">
        <v>101</v>
      </c>
      <c r="H410" t="s">
        <v>102</v>
      </c>
      <c r="I410" t="s">
        <v>42</v>
      </c>
      <c r="J410" t="s">
        <v>92</v>
      </c>
      <c r="K410" t="s">
        <v>102</v>
      </c>
      <c r="L410" s="3">
        <v>1381100</v>
      </c>
      <c r="M410" s="3">
        <v>1494100</v>
      </c>
      <c r="N410" t="s">
        <v>51</v>
      </c>
      <c r="O410" t="s">
        <v>76</v>
      </c>
      <c r="P410" t="s">
        <v>31</v>
      </c>
      <c r="Q410" t="s">
        <v>33</v>
      </c>
      <c r="R410" t="s">
        <v>33</v>
      </c>
      <c r="S410" s="3">
        <v>45262900</v>
      </c>
      <c r="T410" t="str">
        <f>TEXT(tblTransactions[[#This Row],[Date]],"mmm")</f>
        <v>Apr</v>
      </c>
      <c r="U410">
        <f>MONTH(tblTransactions[[#This Row],[Date]])</f>
        <v>4</v>
      </c>
      <c r="V410" t="str">
        <f>"Q"&amp;ROUNDUP(MONTH(tblTransactions[[#This Row],[Date]])/3,0)</f>
        <v>Q2</v>
      </c>
    </row>
    <row r="411" spans="1:22" x14ac:dyDescent="0.25">
      <c r="A411" t="s">
        <v>489</v>
      </c>
      <c r="B411" s="2">
        <v>46121</v>
      </c>
      <c r="C411">
        <v>2026</v>
      </c>
      <c r="D411" t="s">
        <v>68</v>
      </c>
      <c r="E411" t="s">
        <v>556</v>
      </c>
      <c r="F411" t="s">
        <v>35</v>
      </c>
      <c r="G411" t="s">
        <v>95</v>
      </c>
      <c r="H411" t="s">
        <v>96</v>
      </c>
      <c r="I411" t="s">
        <v>42</v>
      </c>
      <c r="J411" t="s">
        <v>38</v>
      </c>
      <c r="K411" t="s">
        <v>96</v>
      </c>
      <c r="L411" s="3">
        <v>1591100</v>
      </c>
      <c r="M411" s="3">
        <v>0</v>
      </c>
      <c r="N411" t="s">
        <v>58</v>
      </c>
      <c r="O411" t="s">
        <v>52</v>
      </c>
      <c r="P411" t="s">
        <v>31</v>
      </c>
      <c r="Q411" t="s">
        <v>32</v>
      </c>
      <c r="R411" t="s">
        <v>33</v>
      </c>
      <c r="S411" s="3">
        <v>46854000</v>
      </c>
      <c r="T411" t="str">
        <f>TEXT(tblTransactions[[#This Row],[Date]],"mmm")</f>
        <v>Apr</v>
      </c>
      <c r="U411">
        <f>MONTH(tblTransactions[[#This Row],[Date]])</f>
        <v>4</v>
      </c>
      <c r="V411" t="str">
        <f>"Q"&amp;ROUNDUP(MONTH(tblTransactions[[#This Row],[Date]])/3,0)</f>
        <v>Q2</v>
      </c>
    </row>
    <row r="412" spans="1:22" x14ac:dyDescent="0.25">
      <c r="A412" t="s">
        <v>490</v>
      </c>
      <c r="B412" s="2">
        <v>46122</v>
      </c>
      <c r="C412">
        <v>2026</v>
      </c>
      <c r="D412" t="s">
        <v>68</v>
      </c>
      <c r="E412" t="s">
        <v>553</v>
      </c>
      <c r="F412" t="s">
        <v>35</v>
      </c>
      <c r="G412" t="s">
        <v>95</v>
      </c>
      <c r="H412" t="s">
        <v>96</v>
      </c>
      <c r="I412" t="s">
        <v>56</v>
      </c>
      <c r="J412" t="s">
        <v>115</v>
      </c>
      <c r="K412" t="s">
        <v>96</v>
      </c>
      <c r="L412" s="3">
        <v>395500</v>
      </c>
      <c r="M412" s="3">
        <v>0</v>
      </c>
      <c r="N412" t="s">
        <v>51</v>
      </c>
      <c r="O412" t="s">
        <v>47</v>
      </c>
      <c r="P412" t="s">
        <v>31</v>
      </c>
      <c r="Q412" t="s">
        <v>33</v>
      </c>
      <c r="R412" t="s">
        <v>33</v>
      </c>
      <c r="S412" s="3">
        <v>47249500</v>
      </c>
      <c r="T412" t="str">
        <f>TEXT(tblTransactions[[#This Row],[Date]],"mmm")</f>
        <v>Apr</v>
      </c>
      <c r="U412">
        <f>MONTH(tblTransactions[[#This Row],[Date]])</f>
        <v>4</v>
      </c>
      <c r="V412" t="str">
        <f>"Q"&amp;ROUNDUP(MONTH(tblTransactions[[#This Row],[Date]])/3,0)</f>
        <v>Q2</v>
      </c>
    </row>
    <row r="413" spans="1:22" x14ac:dyDescent="0.25">
      <c r="A413" t="s">
        <v>491</v>
      </c>
      <c r="B413" s="2">
        <v>46123</v>
      </c>
      <c r="C413">
        <v>2026</v>
      </c>
      <c r="D413" t="s">
        <v>23</v>
      </c>
      <c r="E413" t="s">
        <v>553</v>
      </c>
      <c r="F413" t="s">
        <v>24</v>
      </c>
      <c r="G413" t="s">
        <v>62</v>
      </c>
      <c r="H413" t="s">
        <v>63</v>
      </c>
      <c r="I413" t="s">
        <v>37</v>
      </c>
      <c r="J413" t="s">
        <v>64</v>
      </c>
      <c r="K413" t="s">
        <v>63</v>
      </c>
      <c r="L413" s="3">
        <v>347500</v>
      </c>
      <c r="M413" s="3">
        <v>1572000</v>
      </c>
      <c r="N413" t="s">
        <v>29</v>
      </c>
      <c r="O413" t="s">
        <v>60</v>
      </c>
      <c r="P413" t="s">
        <v>31</v>
      </c>
      <c r="Q413" t="s">
        <v>33</v>
      </c>
      <c r="R413" t="s">
        <v>33</v>
      </c>
      <c r="S413" s="3">
        <v>46902000</v>
      </c>
      <c r="T413" t="str">
        <f>TEXT(tblTransactions[[#This Row],[Date]],"mmm")</f>
        <v>Apr</v>
      </c>
      <c r="U413">
        <f>MONTH(tblTransactions[[#This Row],[Date]])</f>
        <v>4</v>
      </c>
      <c r="V413" t="str">
        <f>"Q"&amp;ROUNDUP(MONTH(tblTransactions[[#This Row],[Date]])/3,0)</f>
        <v>Q2</v>
      </c>
    </row>
    <row r="414" spans="1:22" x14ac:dyDescent="0.25">
      <c r="A414" t="s">
        <v>492</v>
      </c>
      <c r="B414" s="2">
        <v>46124</v>
      </c>
      <c r="C414">
        <v>2026</v>
      </c>
      <c r="D414" t="s">
        <v>23</v>
      </c>
      <c r="E414" t="s">
        <v>552</v>
      </c>
      <c r="F414" t="s">
        <v>24</v>
      </c>
      <c r="G414" t="s">
        <v>74</v>
      </c>
      <c r="H414" t="s">
        <v>75</v>
      </c>
      <c r="I414" t="s">
        <v>50</v>
      </c>
      <c r="J414" t="s">
        <v>57</v>
      </c>
      <c r="K414" t="s">
        <v>75</v>
      </c>
      <c r="L414" s="3">
        <v>1495300</v>
      </c>
      <c r="M414" s="3">
        <v>1044000</v>
      </c>
      <c r="N414" t="s">
        <v>29</v>
      </c>
      <c r="O414" t="s">
        <v>30</v>
      </c>
      <c r="P414" t="s">
        <v>31</v>
      </c>
      <c r="Q414" t="s">
        <v>33</v>
      </c>
      <c r="R414" t="s">
        <v>33</v>
      </c>
      <c r="S414" s="3">
        <v>45406700</v>
      </c>
      <c r="T414" t="str">
        <f>TEXT(tblTransactions[[#This Row],[Date]],"mmm")</f>
        <v>Apr</v>
      </c>
      <c r="U414">
        <f>MONTH(tblTransactions[[#This Row],[Date]])</f>
        <v>4</v>
      </c>
      <c r="V414" t="str">
        <f>"Q"&amp;ROUNDUP(MONTH(tblTransactions[[#This Row],[Date]])/3,0)</f>
        <v>Q2</v>
      </c>
    </row>
    <row r="415" spans="1:22" x14ac:dyDescent="0.25">
      <c r="A415" t="s">
        <v>493</v>
      </c>
      <c r="B415" s="2">
        <v>46125</v>
      </c>
      <c r="C415">
        <v>2026</v>
      </c>
      <c r="D415" t="s">
        <v>42</v>
      </c>
      <c r="E415" t="s">
        <v>556</v>
      </c>
      <c r="F415" t="s">
        <v>24</v>
      </c>
      <c r="G415" t="s">
        <v>70</v>
      </c>
      <c r="H415" t="s">
        <v>71</v>
      </c>
      <c r="I415" t="s">
        <v>42</v>
      </c>
      <c r="J415" t="s">
        <v>57</v>
      </c>
      <c r="K415" t="s">
        <v>71</v>
      </c>
      <c r="L415" s="3">
        <v>1723000</v>
      </c>
      <c r="M415" s="3">
        <v>1106400</v>
      </c>
      <c r="N415" t="s">
        <v>29</v>
      </c>
      <c r="O415" t="s">
        <v>76</v>
      </c>
      <c r="P415" t="s">
        <v>31</v>
      </c>
      <c r="Q415" t="s">
        <v>32</v>
      </c>
      <c r="R415" t="s">
        <v>33</v>
      </c>
      <c r="S415" s="3">
        <v>43683700</v>
      </c>
      <c r="T415" t="str">
        <f>TEXT(tblTransactions[[#This Row],[Date]],"mmm")</f>
        <v>Apr</v>
      </c>
      <c r="U415">
        <f>MONTH(tblTransactions[[#This Row],[Date]])</f>
        <v>4</v>
      </c>
      <c r="V415" t="str">
        <f>"Q"&amp;ROUNDUP(MONTH(tblTransactions[[#This Row],[Date]])/3,0)</f>
        <v>Q2</v>
      </c>
    </row>
    <row r="416" spans="1:22" x14ac:dyDescent="0.25">
      <c r="A416" t="s">
        <v>494</v>
      </c>
      <c r="B416" s="2">
        <v>46126</v>
      </c>
      <c r="C416">
        <v>2026</v>
      </c>
      <c r="D416" t="s">
        <v>68</v>
      </c>
      <c r="E416" t="s">
        <v>556</v>
      </c>
      <c r="F416" t="s">
        <v>35</v>
      </c>
      <c r="G416" t="s">
        <v>80</v>
      </c>
      <c r="H416" t="s">
        <v>81</v>
      </c>
      <c r="I416" t="s">
        <v>50</v>
      </c>
      <c r="J416" t="s">
        <v>92</v>
      </c>
      <c r="K416" t="s">
        <v>81</v>
      </c>
      <c r="L416" s="3">
        <v>4191200</v>
      </c>
      <c r="M416" s="3">
        <v>0</v>
      </c>
      <c r="N416" t="s">
        <v>29</v>
      </c>
      <c r="O416" t="s">
        <v>40</v>
      </c>
      <c r="P416" t="s">
        <v>31</v>
      </c>
      <c r="Q416" t="s">
        <v>32</v>
      </c>
      <c r="R416" t="s">
        <v>33</v>
      </c>
      <c r="S416" s="3">
        <v>47874900</v>
      </c>
      <c r="T416" t="str">
        <f>TEXT(tblTransactions[[#This Row],[Date]],"mmm")</f>
        <v>Apr</v>
      </c>
      <c r="U416">
        <f>MONTH(tblTransactions[[#This Row],[Date]])</f>
        <v>4</v>
      </c>
      <c r="V416" t="str">
        <f>"Q"&amp;ROUNDUP(MONTH(tblTransactions[[#This Row],[Date]])/3,0)</f>
        <v>Q2</v>
      </c>
    </row>
    <row r="417" spans="1:22" x14ac:dyDescent="0.25">
      <c r="A417" t="s">
        <v>495</v>
      </c>
      <c r="B417" s="2">
        <v>46127</v>
      </c>
      <c r="C417">
        <v>2026</v>
      </c>
      <c r="D417" t="s">
        <v>23</v>
      </c>
      <c r="E417" t="s">
        <v>557</v>
      </c>
      <c r="F417" t="s">
        <v>24</v>
      </c>
      <c r="G417" t="s">
        <v>43</v>
      </c>
      <c r="H417" t="s">
        <v>44</v>
      </c>
      <c r="I417" t="s">
        <v>50</v>
      </c>
      <c r="J417" t="s">
        <v>92</v>
      </c>
      <c r="K417" t="s">
        <v>44</v>
      </c>
      <c r="L417" s="3">
        <v>1356900</v>
      </c>
      <c r="M417" s="3">
        <v>801900</v>
      </c>
      <c r="N417" t="s">
        <v>51</v>
      </c>
      <c r="O417" t="s">
        <v>98</v>
      </c>
      <c r="P417" t="s">
        <v>31</v>
      </c>
      <c r="Q417" t="s">
        <v>33</v>
      </c>
      <c r="R417" t="s">
        <v>33</v>
      </c>
      <c r="S417" s="3">
        <v>46518000</v>
      </c>
      <c r="T417" t="str">
        <f>TEXT(tblTransactions[[#This Row],[Date]],"mmm")</f>
        <v>Apr</v>
      </c>
      <c r="U417">
        <f>MONTH(tblTransactions[[#This Row],[Date]])</f>
        <v>4</v>
      </c>
      <c r="V417" t="str">
        <f>"Q"&amp;ROUNDUP(MONTH(tblTransactions[[#This Row],[Date]])/3,0)</f>
        <v>Q2</v>
      </c>
    </row>
    <row r="418" spans="1:22" x14ac:dyDescent="0.25">
      <c r="A418" t="s">
        <v>496</v>
      </c>
      <c r="B418" s="2">
        <v>46128</v>
      </c>
      <c r="C418">
        <v>2026</v>
      </c>
      <c r="D418" t="s">
        <v>23</v>
      </c>
      <c r="E418" t="s">
        <v>554</v>
      </c>
      <c r="F418" t="s">
        <v>24</v>
      </c>
      <c r="G418" t="s">
        <v>25</v>
      </c>
      <c r="H418" t="s">
        <v>26</v>
      </c>
      <c r="I418" t="s">
        <v>56</v>
      </c>
      <c r="J418" t="s">
        <v>115</v>
      </c>
      <c r="K418" t="s">
        <v>26</v>
      </c>
      <c r="L418" s="3">
        <v>1108000</v>
      </c>
      <c r="M418" s="3">
        <v>1930900</v>
      </c>
      <c r="N418" t="s">
        <v>39</v>
      </c>
      <c r="O418" t="s">
        <v>52</v>
      </c>
      <c r="P418" t="s">
        <v>31</v>
      </c>
      <c r="Q418" t="s">
        <v>32</v>
      </c>
      <c r="R418" t="s">
        <v>33</v>
      </c>
      <c r="S418" s="3">
        <v>45410000</v>
      </c>
      <c r="T418" t="str">
        <f>TEXT(tblTransactions[[#This Row],[Date]],"mmm")</f>
        <v>Apr</v>
      </c>
      <c r="U418">
        <f>MONTH(tblTransactions[[#This Row],[Date]])</f>
        <v>4</v>
      </c>
      <c r="V418" t="str">
        <f>"Q"&amp;ROUNDUP(MONTH(tblTransactions[[#This Row],[Date]])/3,0)</f>
        <v>Q2</v>
      </c>
    </row>
    <row r="419" spans="1:22" x14ac:dyDescent="0.25">
      <c r="A419" t="s">
        <v>497</v>
      </c>
      <c r="B419" s="2">
        <v>46129</v>
      </c>
      <c r="C419">
        <v>2026</v>
      </c>
      <c r="D419" t="s">
        <v>42</v>
      </c>
      <c r="E419" t="s">
        <v>557</v>
      </c>
      <c r="F419" t="s">
        <v>24</v>
      </c>
      <c r="G419" t="s">
        <v>54</v>
      </c>
      <c r="H419" t="s">
        <v>55</v>
      </c>
      <c r="I419" t="s">
        <v>27</v>
      </c>
      <c r="J419" t="s">
        <v>115</v>
      </c>
      <c r="K419" t="s">
        <v>55</v>
      </c>
      <c r="L419" s="3">
        <v>1486900</v>
      </c>
      <c r="M419" s="3">
        <v>1615000</v>
      </c>
      <c r="N419" t="s">
        <v>58</v>
      </c>
      <c r="O419" t="s">
        <v>52</v>
      </c>
      <c r="P419" t="s">
        <v>31</v>
      </c>
      <c r="Q419" t="s">
        <v>33</v>
      </c>
      <c r="R419" t="s">
        <v>32</v>
      </c>
      <c r="S419" s="3">
        <v>43923100</v>
      </c>
      <c r="T419" t="str">
        <f>TEXT(tblTransactions[[#This Row],[Date]],"mmm")</f>
        <v>Apr</v>
      </c>
      <c r="U419">
        <f>MONTH(tblTransactions[[#This Row],[Date]])</f>
        <v>4</v>
      </c>
      <c r="V419" t="str">
        <f>"Q"&amp;ROUNDUP(MONTH(tblTransactions[[#This Row],[Date]])/3,0)</f>
        <v>Q2</v>
      </c>
    </row>
    <row r="420" spans="1:22" x14ac:dyDescent="0.25">
      <c r="A420" t="s">
        <v>498</v>
      </c>
      <c r="B420" s="2">
        <v>46130</v>
      </c>
      <c r="C420">
        <v>2026</v>
      </c>
      <c r="D420" t="s">
        <v>42</v>
      </c>
      <c r="E420" t="s">
        <v>556</v>
      </c>
      <c r="F420" t="s">
        <v>24</v>
      </c>
      <c r="G420" t="s">
        <v>101</v>
      </c>
      <c r="H420" t="s">
        <v>102</v>
      </c>
      <c r="I420" t="s">
        <v>45</v>
      </c>
      <c r="J420" t="s">
        <v>78</v>
      </c>
      <c r="K420" t="s">
        <v>102</v>
      </c>
      <c r="L420" s="3">
        <v>1212600</v>
      </c>
      <c r="M420" s="3">
        <v>246500</v>
      </c>
      <c r="N420" t="s">
        <v>58</v>
      </c>
      <c r="O420" t="s">
        <v>98</v>
      </c>
      <c r="P420" t="s">
        <v>31</v>
      </c>
      <c r="Q420" t="s">
        <v>33</v>
      </c>
      <c r="R420" t="s">
        <v>33</v>
      </c>
      <c r="S420" s="3">
        <v>42710500</v>
      </c>
      <c r="T420" t="str">
        <f>TEXT(tblTransactions[[#This Row],[Date]],"mmm")</f>
        <v>Apr</v>
      </c>
      <c r="U420">
        <f>MONTH(tblTransactions[[#This Row],[Date]])</f>
        <v>4</v>
      </c>
      <c r="V420" t="str">
        <f>"Q"&amp;ROUNDUP(MONTH(tblTransactions[[#This Row],[Date]])/3,0)</f>
        <v>Q2</v>
      </c>
    </row>
    <row r="421" spans="1:22" x14ac:dyDescent="0.25">
      <c r="A421" t="s">
        <v>499</v>
      </c>
      <c r="B421" s="2">
        <v>46131</v>
      </c>
      <c r="C421">
        <v>2026</v>
      </c>
      <c r="D421" t="s">
        <v>42</v>
      </c>
      <c r="E421" t="s">
        <v>556</v>
      </c>
      <c r="F421" t="s">
        <v>24</v>
      </c>
      <c r="G421" t="s">
        <v>43</v>
      </c>
      <c r="H421" t="s">
        <v>44</v>
      </c>
      <c r="I421" t="s">
        <v>50</v>
      </c>
      <c r="J421" t="s">
        <v>87</v>
      </c>
      <c r="K421" t="s">
        <v>44</v>
      </c>
      <c r="L421" s="3">
        <v>1203300</v>
      </c>
      <c r="M421" s="3">
        <v>1657600</v>
      </c>
      <c r="N421" t="s">
        <v>51</v>
      </c>
      <c r="O421" t="s">
        <v>109</v>
      </c>
      <c r="P421" t="s">
        <v>31</v>
      </c>
      <c r="Q421" t="s">
        <v>32</v>
      </c>
      <c r="R421" t="s">
        <v>33</v>
      </c>
      <c r="S421" s="3">
        <v>41507200</v>
      </c>
      <c r="T421" t="str">
        <f>TEXT(tblTransactions[[#This Row],[Date]],"mmm")</f>
        <v>Apr</v>
      </c>
      <c r="U421">
        <f>MONTH(tblTransactions[[#This Row],[Date]])</f>
        <v>4</v>
      </c>
      <c r="V421" t="str">
        <f>"Q"&amp;ROUNDUP(MONTH(tblTransactions[[#This Row],[Date]])/3,0)</f>
        <v>Q2</v>
      </c>
    </row>
    <row r="422" spans="1:22" x14ac:dyDescent="0.25">
      <c r="A422" t="s">
        <v>500</v>
      </c>
      <c r="B422" s="2">
        <v>46132</v>
      </c>
      <c r="C422">
        <v>2026</v>
      </c>
      <c r="D422" t="s">
        <v>68</v>
      </c>
      <c r="E422" t="s">
        <v>554</v>
      </c>
      <c r="F422" t="s">
        <v>24</v>
      </c>
      <c r="G422" t="s">
        <v>62</v>
      </c>
      <c r="H422" t="s">
        <v>63</v>
      </c>
      <c r="I422" t="s">
        <v>56</v>
      </c>
      <c r="J422" t="s">
        <v>78</v>
      </c>
      <c r="K422" t="s">
        <v>63</v>
      </c>
      <c r="L422" s="3">
        <v>1817300</v>
      </c>
      <c r="M422" s="3">
        <v>689000</v>
      </c>
      <c r="N422" t="s">
        <v>29</v>
      </c>
      <c r="O422" t="s">
        <v>47</v>
      </c>
      <c r="P422" t="s">
        <v>31</v>
      </c>
      <c r="Q422" t="s">
        <v>32</v>
      </c>
      <c r="R422" t="s">
        <v>33</v>
      </c>
      <c r="S422" s="3">
        <v>39689900</v>
      </c>
      <c r="T422" t="str">
        <f>TEXT(tblTransactions[[#This Row],[Date]],"mmm")</f>
        <v>Apr</v>
      </c>
      <c r="U422">
        <f>MONTH(tblTransactions[[#This Row],[Date]])</f>
        <v>4</v>
      </c>
      <c r="V422" t="str">
        <f>"Q"&amp;ROUNDUP(MONTH(tblTransactions[[#This Row],[Date]])/3,0)</f>
        <v>Q2</v>
      </c>
    </row>
    <row r="423" spans="1:22" x14ac:dyDescent="0.25">
      <c r="A423" t="s">
        <v>501</v>
      </c>
      <c r="B423" s="2">
        <v>46133</v>
      </c>
      <c r="C423">
        <v>2026</v>
      </c>
      <c r="D423" t="s">
        <v>68</v>
      </c>
      <c r="E423" t="s">
        <v>552</v>
      </c>
      <c r="F423" t="s">
        <v>24</v>
      </c>
      <c r="G423" t="s">
        <v>70</v>
      </c>
      <c r="H423" t="s">
        <v>71</v>
      </c>
      <c r="I423" t="s">
        <v>42</v>
      </c>
      <c r="J423" t="s">
        <v>64</v>
      </c>
      <c r="K423" t="s">
        <v>71</v>
      </c>
      <c r="L423" s="3">
        <v>32100</v>
      </c>
      <c r="M423" s="3">
        <v>871900</v>
      </c>
      <c r="N423" t="s">
        <v>51</v>
      </c>
      <c r="O423" t="s">
        <v>52</v>
      </c>
      <c r="P423" t="s">
        <v>31</v>
      </c>
      <c r="Q423" t="s">
        <v>33</v>
      </c>
      <c r="R423" t="s">
        <v>33</v>
      </c>
      <c r="S423" s="3">
        <v>39657800</v>
      </c>
      <c r="T423" t="str">
        <f>TEXT(tblTransactions[[#This Row],[Date]],"mmm")</f>
        <v>Apr</v>
      </c>
      <c r="U423">
        <f>MONTH(tblTransactions[[#This Row],[Date]])</f>
        <v>4</v>
      </c>
      <c r="V423" t="str">
        <f>"Q"&amp;ROUNDUP(MONTH(tblTransactions[[#This Row],[Date]])/3,0)</f>
        <v>Q2</v>
      </c>
    </row>
    <row r="424" spans="1:22" x14ac:dyDescent="0.25">
      <c r="A424" t="s">
        <v>502</v>
      </c>
      <c r="B424" s="2">
        <v>46135</v>
      </c>
      <c r="C424">
        <v>2026</v>
      </c>
      <c r="D424" t="s">
        <v>42</v>
      </c>
      <c r="E424" t="s">
        <v>557</v>
      </c>
      <c r="F424" t="s">
        <v>35</v>
      </c>
      <c r="G424" t="s">
        <v>95</v>
      </c>
      <c r="H424" t="s">
        <v>96</v>
      </c>
      <c r="I424" t="s">
        <v>27</v>
      </c>
      <c r="J424" t="s">
        <v>38</v>
      </c>
      <c r="K424" t="s">
        <v>96</v>
      </c>
      <c r="L424" s="3">
        <v>368100</v>
      </c>
      <c r="M424" s="3">
        <v>0</v>
      </c>
      <c r="N424" t="s">
        <v>29</v>
      </c>
      <c r="O424" t="s">
        <v>52</v>
      </c>
      <c r="P424" t="s">
        <v>31</v>
      </c>
      <c r="Q424" t="s">
        <v>33</v>
      </c>
      <c r="R424" t="s">
        <v>33</v>
      </c>
      <c r="S424" s="3">
        <v>40025900</v>
      </c>
      <c r="T424" t="str">
        <f>TEXT(tblTransactions[[#This Row],[Date]],"mmm")</f>
        <v>Apr</v>
      </c>
      <c r="U424">
        <f>MONTH(tblTransactions[[#This Row],[Date]])</f>
        <v>4</v>
      </c>
      <c r="V424" t="str">
        <f>"Q"&amp;ROUNDUP(MONTH(tblTransactions[[#This Row],[Date]])/3,0)</f>
        <v>Q2</v>
      </c>
    </row>
    <row r="425" spans="1:22" x14ac:dyDescent="0.25">
      <c r="A425" t="s">
        <v>503</v>
      </c>
      <c r="B425" s="2">
        <v>46136</v>
      </c>
      <c r="C425">
        <v>2026</v>
      </c>
      <c r="D425" t="s">
        <v>68</v>
      </c>
      <c r="E425" t="s">
        <v>557</v>
      </c>
      <c r="F425" t="s">
        <v>35</v>
      </c>
      <c r="G425" t="s">
        <v>36</v>
      </c>
      <c r="H425" t="s">
        <v>36</v>
      </c>
      <c r="I425" t="s">
        <v>56</v>
      </c>
      <c r="J425" t="s">
        <v>115</v>
      </c>
      <c r="K425" t="s">
        <v>36</v>
      </c>
      <c r="L425" s="3">
        <v>6378500</v>
      </c>
      <c r="M425" s="3">
        <v>0</v>
      </c>
      <c r="N425" t="s">
        <v>58</v>
      </c>
      <c r="O425" t="s">
        <v>40</v>
      </c>
      <c r="P425" t="s">
        <v>31</v>
      </c>
      <c r="Q425" t="s">
        <v>33</v>
      </c>
      <c r="R425" t="s">
        <v>33</v>
      </c>
      <c r="S425" s="3">
        <v>46404400</v>
      </c>
      <c r="T425" t="str">
        <f>TEXT(tblTransactions[[#This Row],[Date]],"mmm")</f>
        <v>Apr</v>
      </c>
      <c r="U425">
        <f>MONTH(tblTransactions[[#This Row],[Date]])</f>
        <v>4</v>
      </c>
      <c r="V425" t="str">
        <f>"Q"&amp;ROUNDUP(MONTH(tblTransactions[[#This Row],[Date]])/3,0)</f>
        <v>Q2</v>
      </c>
    </row>
    <row r="426" spans="1:22" x14ac:dyDescent="0.25">
      <c r="A426" t="s">
        <v>504</v>
      </c>
      <c r="B426" s="2">
        <v>46137</v>
      </c>
      <c r="C426">
        <v>2026</v>
      </c>
      <c r="D426" t="s">
        <v>68</v>
      </c>
      <c r="E426" t="s">
        <v>557</v>
      </c>
      <c r="F426" t="s">
        <v>35</v>
      </c>
      <c r="G426" t="s">
        <v>80</v>
      </c>
      <c r="H426" t="s">
        <v>81</v>
      </c>
      <c r="I426" t="s">
        <v>37</v>
      </c>
      <c r="J426" t="s">
        <v>115</v>
      </c>
      <c r="K426" t="s">
        <v>81</v>
      </c>
      <c r="L426" s="3">
        <v>2707300</v>
      </c>
      <c r="M426" s="3">
        <v>0</v>
      </c>
      <c r="N426" t="s">
        <v>29</v>
      </c>
      <c r="O426" t="s">
        <v>52</v>
      </c>
      <c r="P426" t="s">
        <v>31</v>
      </c>
      <c r="Q426" t="s">
        <v>33</v>
      </c>
      <c r="R426" t="s">
        <v>33</v>
      </c>
      <c r="S426" s="3">
        <v>49111700</v>
      </c>
      <c r="T426" t="str">
        <f>TEXT(tblTransactions[[#This Row],[Date]],"mmm")</f>
        <v>Apr</v>
      </c>
      <c r="U426">
        <f>MONTH(tblTransactions[[#This Row],[Date]])</f>
        <v>4</v>
      </c>
      <c r="V426" t="str">
        <f>"Q"&amp;ROUNDUP(MONTH(tblTransactions[[#This Row],[Date]])/3,0)</f>
        <v>Q2</v>
      </c>
    </row>
    <row r="427" spans="1:22" x14ac:dyDescent="0.25">
      <c r="A427" t="s">
        <v>505</v>
      </c>
      <c r="B427" s="2">
        <v>46138</v>
      </c>
      <c r="C427">
        <v>2026</v>
      </c>
      <c r="D427" t="s">
        <v>68</v>
      </c>
      <c r="E427" t="s">
        <v>557</v>
      </c>
      <c r="F427" t="s">
        <v>24</v>
      </c>
      <c r="G427" t="s">
        <v>25</v>
      </c>
      <c r="H427" t="s">
        <v>26</v>
      </c>
      <c r="I427" t="s">
        <v>27</v>
      </c>
      <c r="J427" t="s">
        <v>64</v>
      </c>
      <c r="K427" t="s">
        <v>26</v>
      </c>
      <c r="L427" s="3">
        <v>1530200</v>
      </c>
      <c r="M427" s="3">
        <v>1352700</v>
      </c>
      <c r="N427" t="s">
        <v>58</v>
      </c>
      <c r="O427" t="s">
        <v>76</v>
      </c>
      <c r="P427" t="s">
        <v>31</v>
      </c>
      <c r="Q427" t="s">
        <v>33</v>
      </c>
      <c r="R427" t="s">
        <v>33</v>
      </c>
      <c r="S427" s="3">
        <v>47581500</v>
      </c>
      <c r="T427" t="str">
        <f>TEXT(tblTransactions[[#This Row],[Date]],"mmm")</f>
        <v>Apr</v>
      </c>
      <c r="U427">
        <f>MONTH(tblTransactions[[#This Row],[Date]])</f>
        <v>4</v>
      </c>
      <c r="V427" t="str">
        <f>"Q"&amp;ROUNDUP(MONTH(tblTransactions[[#This Row],[Date]])/3,0)</f>
        <v>Q2</v>
      </c>
    </row>
    <row r="428" spans="1:22" x14ac:dyDescent="0.25">
      <c r="A428" t="s">
        <v>506</v>
      </c>
      <c r="B428" s="2">
        <v>46139</v>
      </c>
      <c r="C428">
        <v>2026</v>
      </c>
      <c r="D428" t="s">
        <v>23</v>
      </c>
      <c r="E428" t="s">
        <v>553</v>
      </c>
      <c r="F428" t="s">
        <v>24</v>
      </c>
      <c r="G428" t="s">
        <v>107</v>
      </c>
      <c r="H428" t="s">
        <v>108</v>
      </c>
      <c r="I428" t="s">
        <v>37</v>
      </c>
      <c r="J428" t="s">
        <v>87</v>
      </c>
      <c r="K428" t="s">
        <v>108</v>
      </c>
      <c r="L428" s="3">
        <v>333900</v>
      </c>
      <c r="M428" s="3">
        <v>850000</v>
      </c>
      <c r="N428" t="s">
        <v>51</v>
      </c>
      <c r="O428" t="s">
        <v>109</v>
      </c>
      <c r="P428" t="s">
        <v>31</v>
      </c>
      <c r="Q428" t="s">
        <v>33</v>
      </c>
      <c r="R428" t="s">
        <v>33</v>
      </c>
      <c r="S428" s="3">
        <v>47247600</v>
      </c>
      <c r="T428" t="str">
        <f>TEXT(tblTransactions[[#This Row],[Date]],"mmm")</f>
        <v>Apr</v>
      </c>
      <c r="U428">
        <f>MONTH(tblTransactions[[#This Row],[Date]])</f>
        <v>4</v>
      </c>
      <c r="V428" t="str">
        <f>"Q"&amp;ROUNDUP(MONTH(tblTransactions[[#This Row],[Date]])/3,0)</f>
        <v>Q2</v>
      </c>
    </row>
    <row r="429" spans="1:22" x14ac:dyDescent="0.25">
      <c r="A429" t="s">
        <v>507</v>
      </c>
      <c r="B429" s="2">
        <v>46140</v>
      </c>
      <c r="C429">
        <v>2026</v>
      </c>
      <c r="D429" t="s">
        <v>23</v>
      </c>
      <c r="E429" t="s">
        <v>555</v>
      </c>
      <c r="F429" t="s">
        <v>24</v>
      </c>
      <c r="G429" t="s">
        <v>107</v>
      </c>
      <c r="H429" t="s">
        <v>108</v>
      </c>
      <c r="I429" t="s">
        <v>27</v>
      </c>
      <c r="J429" t="s">
        <v>57</v>
      </c>
      <c r="K429" t="s">
        <v>108</v>
      </c>
      <c r="L429" s="3">
        <v>1682500</v>
      </c>
      <c r="M429" s="3">
        <v>1229800</v>
      </c>
      <c r="N429" t="s">
        <v>58</v>
      </c>
      <c r="O429" t="s">
        <v>47</v>
      </c>
      <c r="P429" t="s">
        <v>31</v>
      </c>
      <c r="Q429" t="s">
        <v>33</v>
      </c>
      <c r="R429" t="s">
        <v>33</v>
      </c>
      <c r="S429" s="3">
        <v>45565100</v>
      </c>
      <c r="T429" t="str">
        <f>TEXT(tblTransactions[[#This Row],[Date]],"mmm")</f>
        <v>Apr</v>
      </c>
      <c r="U429">
        <f>MONTH(tblTransactions[[#This Row],[Date]])</f>
        <v>4</v>
      </c>
      <c r="V429" t="str">
        <f>"Q"&amp;ROUNDUP(MONTH(tblTransactions[[#This Row],[Date]])/3,0)</f>
        <v>Q2</v>
      </c>
    </row>
    <row r="430" spans="1:22" x14ac:dyDescent="0.25">
      <c r="A430" t="s">
        <v>508</v>
      </c>
      <c r="B430" s="2">
        <v>46141</v>
      </c>
      <c r="C430">
        <v>2026</v>
      </c>
      <c r="D430" t="s">
        <v>68</v>
      </c>
      <c r="E430" t="s">
        <v>552</v>
      </c>
      <c r="F430" t="s">
        <v>24</v>
      </c>
      <c r="G430" t="s">
        <v>54</v>
      </c>
      <c r="H430" t="s">
        <v>55</v>
      </c>
      <c r="I430" t="s">
        <v>50</v>
      </c>
      <c r="J430" t="s">
        <v>64</v>
      </c>
      <c r="K430" t="s">
        <v>55</v>
      </c>
      <c r="L430" s="3">
        <v>1174100</v>
      </c>
      <c r="M430" s="3">
        <v>1774300</v>
      </c>
      <c r="N430" t="s">
        <v>51</v>
      </c>
      <c r="O430" t="s">
        <v>30</v>
      </c>
      <c r="P430" t="s">
        <v>31</v>
      </c>
      <c r="Q430" t="s">
        <v>33</v>
      </c>
      <c r="R430" t="s">
        <v>33</v>
      </c>
      <c r="S430" s="3">
        <v>44391000</v>
      </c>
      <c r="T430" t="str">
        <f>TEXT(tblTransactions[[#This Row],[Date]],"mmm")</f>
        <v>Apr</v>
      </c>
      <c r="U430">
        <f>MONTH(tblTransactions[[#This Row],[Date]])</f>
        <v>4</v>
      </c>
      <c r="V430" t="str">
        <f>"Q"&amp;ROUNDUP(MONTH(tblTransactions[[#This Row],[Date]])/3,0)</f>
        <v>Q2</v>
      </c>
    </row>
    <row r="431" spans="1:22" x14ac:dyDescent="0.25">
      <c r="A431" t="s">
        <v>509</v>
      </c>
      <c r="B431" s="2">
        <v>46143</v>
      </c>
      <c r="C431">
        <v>2026</v>
      </c>
      <c r="D431" t="s">
        <v>68</v>
      </c>
      <c r="E431" t="s">
        <v>554</v>
      </c>
      <c r="F431" t="s">
        <v>24</v>
      </c>
      <c r="G431" t="s">
        <v>54</v>
      </c>
      <c r="H431" t="s">
        <v>55</v>
      </c>
      <c r="I431" t="s">
        <v>42</v>
      </c>
      <c r="J431" t="s">
        <v>87</v>
      </c>
      <c r="K431" t="s">
        <v>55</v>
      </c>
      <c r="L431" s="3">
        <v>297600</v>
      </c>
      <c r="M431" s="3">
        <v>417800</v>
      </c>
      <c r="N431" t="s">
        <v>58</v>
      </c>
      <c r="O431" t="s">
        <v>47</v>
      </c>
      <c r="P431" t="s">
        <v>31</v>
      </c>
      <c r="Q431" t="s">
        <v>33</v>
      </c>
      <c r="R431" t="s">
        <v>33</v>
      </c>
      <c r="S431" s="3">
        <v>44093400</v>
      </c>
      <c r="T431" t="str">
        <f>TEXT(tblTransactions[[#This Row],[Date]],"mmm")</f>
        <v>May</v>
      </c>
      <c r="U431">
        <f>MONTH(tblTransactions[[#This Row],[Date]])</f>
        <v>5</v>
      </c>
      <c r="V431" t="str">
        <f>"Q"&amp;ROUNDUP(MONTH(tblTransactions[[#This Row],[Date]])/3,0)</f>
        <v>Q2</v>
      </c>
    </row>
    <row r="432" spans="1:22" x14ac:dyDescent="0.25">
      <c r="A432" t="s">
        <v>510</v>
      </c>
      <c r="B432" s="2">
        <v>46144</v>
      </c>
      <c r="C432">
        <v>2026</v>
      </c>
      <c r="D432" t="s">
        <v>68</v>
      </c>
      <c r="E432" t="s">
        <v>557</v>
      </c>
      <c r="F432" t="s">
        <v>24</v>
      </c>
      <c r="G432" t="s">
        <v>25</v>
      </c>
      <c r="H432" t="s">
        <v>26</v>
      </c>
      <c r="I432" t="s">
        <v>27</v>
      </c>
      <c r="J432" t="s">
        <v>92</v>
      </c>
      <c r="K432" t="s">
        <v>26</v>
      </c>
      <c r="L432" s="3">
        <v>121600</v>
      </c>
      <c r="M432" s="3">
        <v>1628800</v>
      </c>
      <c r="N432" t="s">
        <v>58</v>
      </c>
      <c r="O432" t="s">
        <v>109</v>
      </c>
      <c r="P432" t="s">
        <v>31</v>
      </c>
      <c r="Q432" t="s">
        <v>32</v>
      </c>
      <c r="R432" t="s">
        <v>33</v>
      </c>
      <c r="S432" s="3">
        <v>43971800</v>
      </c>
      <c r="T432" t="str">
        <f>TEXT(tblTransactions[[#This Row],[Date]],"mmm")</f>
        <v>May</v>
      </c>
      <c r="U432">
        <f>MONTH(tblTransactions[[#This Row],[Date]])</f>
        <v>5</v>
      </c>
      <c r="V432" t="str">
        <f>"Q"&amp;ROUNDUP(MONTH(tblTransactions[[#This Row],[Date]])/3,0)</f>
        <v>Q2</v>
      </c>
    </row>
    <row r="433" spans="1:22" x14ac:dyDescent="0.25">
      <c r="A433" t="s">
        <v>511</v>
      </c>
      <c r="B433" s="2">
        <v>46147</v>
      </c>
      <c r="C433">
        <v>2026</v>
      </c>
      <c r="D433" t="s">
        <v>23</v>
      </c>
      <c r="E433" t="s">
        <v>557</v>
      </c>
      <c r="F433" t="s">
        <v>24</v>
      </c>
      <c r="G433" t="s">
        <v>62</v>
      </c>
      <c r="H433" t="s">
        <v>63</v>
      </c>
      <c r="I433" t="s">
        <v>37</v>
      </c>
      <c r="J433" t="s">
        <v>87</v>
      </c>
      <c r="K433" t="s">
        <v>63</v>
      </c>
      <c r="L433" s="3">
        <v>938100</v>
      </c>
      <c r="M433" s="3">
        <v>1592200</v>
      </c>
      <c r="N433" t="s">
        <v>29</v>
      </c>
      <c r="O433" t="s">
        <v>66</v>
      </c>
      <c r="P433" t="s">
        <v>31</v>
      </c>
      <c r="Q433" t="s">
        <v>32</v>
      </c>
      <c r="R433" t="s">
        <v>33</v>
      </c>
      <c r="S433" s="3">
        <v>43033700</v>
      </c>
      <c r="T433" t="str">
        <f>TEXT(tblTransactions[[#This Row],[Date]],"mmm")</f>
        <v>May</v>
      </c>
      <c r="U433">
        <f>MONTH(tblTransactions[[#This Row],[Date]])</f>
        <v>5</v>
      </c>
      <c r="V433" t="str">
        <f>"Q"&amp;ROUNDUP(MONTH(tblTransactions[[#This Row],[Date]])/3,0)</f>
        <v>Q2</v>
      </c>
    </row>
    <row r="434" spans="1:22" x14ac:dyDescent="0.25">
      <c r="A434" t="s">
        <v>512</v>
      </c>
      <c r="B434" s="2">
        <v>46148</v>
      </c>
      <c r="C434">
        <v>2026</v>
      </c>
      <c r="D434" t="s">
        <v>68</v>
      </c>
      <c r="E434" t="s">
        <v>554</v>
      </c>
      <c r="F434" t="s">
        <v>24</v>
      </c>
      <c r="G434" t="s">
        <v>43</v>
      </c>
      <c r="H434" t="s">
        <v>44</v>
      </c>
      <c r="I434" t="s">
        <v>42</v>
      </c>
      <c r="J434" t="s">
        <v>92</v>
      </c>
      <c r="K434" t="s">
        <v>44</v>
      </c>
      <c r="L434" s="3">
        <v>1723200</v>
      </c>
      <c r="M434" s="3">
        <v>1211000</v>
      </c>
      <c r="N434" t="s">
        <v>29</v>
      </c>
      <c r="O434" t="s">
        <v>76</v>
      </c>
      <c r="P434" t="s">
        <v>31</v>
      </c>
      <c r="Q434" t="s">
        <v>33</v>
      </c>
      <c r="R434" t="s">
        <v>33</v>
      </c>
      <c r="S434" s="3">
        <v>41310500</v>
      </c>
      <c r="T434" t="str">
        <f>TEXT(tblTransactions[[#This Row],[Date]],"mmm")</f>
        <v>May</v>
      </c>
      <c r="U434">
        <f>MONTH(tblTransactions[[#This Row],[Date]])</f>
        <v>5</v>
      </c>
      <c r="V434" t="str">
        <f>"Q"&amp;ROUNDUP(MONTH(tblTransactions[[#This Row],[Date]])/3,0)</f>
        <v>Q2</v>
      </c>
    </row>
    <row r="435" spans="1:22" x14ac:dyDescent="0.25">
      <c r="A435" t="s">
        <v>513</v>
      </c>
      <c r="B435" s="2">
        <v>46150</v>
      </c>
      <c r="C435">
        <v>2026</v>
      </c>
      <c r="D435" t="s">
        <v>68</v>
      </c>
      <c r="E435" t="s">
        <v>557</v>
      </c>
      <c r="F435" t="s">
        <v>24</v>
      </c>
      <c r="G435" t="s">
        <v>70</v>
      </c>
      <c r="H435" t="s">
        <v>71</v>
      </c>
      <c r="I435" t="s">
        <v>27</v>
      </c>
      <c r="J435" t="s">
        <v>46</v>
      </c>
      <c r="K435" t="s">
        <v>71</v>
      </c>
      <c r="L435" s="3">
        <v>390400</v>
      </c>
      <c r="M435" s="3">
        <v>102400</v>
      </c>
      <c r="N435" t="s">
        <v>51</v>
      </c>
      <c r="O435" t="s">
        <v>66</v>
      </c>
      <c r="P435" t="s">
        <v>31</v>
      </c>
      <c r="Q435" t="s">
        <v>33</v>
      </c>
      <c r="R435" t="s">
        <v>33</v>
      </c>
      <c r="S435" s="3">
        <v>40920100</v>
      </c>
      <c r="T435" t="str">
        <f>TEXT(tblTransactions[[#This Row],[Date]],"mmm")</f>
        <v>May</v>
      </c>
      <c r="U435">
        <f>MONTH(tblTransactions[[#This Row],[Date]])</f>
        <v>5</v>
      </c>
      <c r="V435" t="str">
        <f>"Q"&amp;ROUNDUP(MONTH(tblTransactions[[#This Row],[Date]])/3,0)</f>
        <v>Q2</v>
      </c>
    </row>
    <row r="436" spans="1:22" x14ac:dyDescent="0.25">
      <c r="A436" t="s">
        <v>514</v>
      </c>
      <c r="B436" s="2">
        <v>46151</v>
      </c>
      <c r="C436">
        <v>2026</v>
      </c>
      <c r="D436" t="s">
        <v>23</v>
      </c>
      <c r="E436" t="s">
        <v>553</v>
      </c>
      <c r="F436" t="s">
        <v>24</v>
      </c>
      <c r="G436" t="s">
        <v>25</v>
      </c>
      <c r="H436" t="s">
        <v>26</v>
      </c>
      <c r="I436" t="s">
        <v>27</v>
      </c>
      <c r="J436" t="s">
        <v>87</v>
      </c>
      <c r="K436" t="s">
        <v>26</v>
      </c>
      <c r="L436" s="3">
        <v>277400</v>
      </c>
      <c r="M436" s="3">
        <v>1312300</v>
      </c>
      <c r="N436" t="s">
        <v>39</v>
      </c>
      <c r="O436" t="s">
        <v>109</v>
      </c>
      <c r="P436" t="s">
        <v>31</v>
      </c>
      <c r="Q436" t="s">
        <v>32</v>
      </c>
      <c r="R436" t="s">
        <v>33</v>
      </c>
      <c r="S436" s="3">
        <v>40642700</v>
      </c>
      <c r="T436" t="str">
        <f>TEXT(tblTransactions[[#This Row],[Date]],"mmm")</f>
        <v>May</v>
      </c>
      <c r="U436">
        <f>MONTH(tblTransactions[[#This Row],[Date]])</f>
        <v>5</v>
      </c>
      <c r="V436" t="str">
        <f>"Q"&amp;ROUNDUP(MONTH(tblTransactions[[#This Row],[Date]])/3,0)</f>
        <v>Q2</v>
      </c>
    </row>
    <row r="437" spans="1:22" x14ac:dyDescent="0.25">
      <c r="A437" t="s">
        <v>515</v>
      </c>
      <c r="B437" s="2">
        <v>46152</v>
      </c>
      <c r="C437">
        <v>2026</v>
      </c>
      <c r="D437" t="s">
        <v>23</v>
      </c>
      <c r="E437" t="s">
        <v>555</v>
      </c>
      <c r="F437" t="s">
        <v>24</v>
      </c>
      <c r="G437" t="s">
        <v>101</v>
      </c>
      <c r="H437" t="s">
        <v>102</v>
      </c>
      <c r="I437" t="s">
        <v>50</v>
      </c>
      <c r="J437" t="s">
        <v>87</v>
      </c>
      <c r="K437" t="s">
        <v>102</v>
      </c>
      <c r="L437" s="3">
        <v>300000</v>
      </c>
      <c r="M437" s="3">
        <v>199100</v>
      </c>
      <c r="N437" t="s">
        <v>51</v>
      </c>
      <c r="O437" t="s">
        <v>40</v>
      </c>
      <c r="P437" t="s">
        <v>31</v>
      </c>
      <c r="Q437" t="s">
        <v>32</v>
      </c>
      <c r="R437" t="s">
        <v>33</v>
      </c>
      <c r="S437" s="3">
        <v>40342700</v>
      </c>
      <c r="T437" t="str">
        <f>TEXT(tblTransactions[[#This Row],[Date]],"mmm")</f>
        <v>May</v>
      </c>
      <c r="U437">
        <f>MONTH(tblTransactions[[#This Row],[Date]])</f>
        <v>5</v>
      </c>
      <c r="V437" t="str">
        <f>"Q"&amp;ROUNDUP(MONTH(tblTransactions[[#This Row],[Date]])/3,0)</f>
        <v>Q2</v>
      </c>
    </row>
    <row r="438" spans="1:22" x14ac:dyDescent="0.25">
      <c r="A438" t="s">
        <v>516</v>
      </c>
      <c r="B438" s="2">
        <v>46153</v>
      </c>
      <c r="C438">
        <v>2026</v>
      </c>
      <c r="D438" t="s">
        <v>42</v>
      </c>
      <c r="E438" t="s">
        <v>557</v>
      </c>
      <c r="F438" t="s">
        <v>24</v>
      </c>
      <c r="G438" t="s">
        <v>25</v>
      </c>
      <c r="H438" t="s">
        <v>26</v>
      </c>
      <c r="I438" t="s">
        <v>37</v>
      </c>
      <c r="J438" t="s">
        <v>57</v>
      </c>
      <c r="K438" t="s">
        <v>26</v>
      </c>
      <c r="L438" s="3">
        <v>1702000</v>
      </c>
      <c r="M438" s="3">
        <v>426800</v>
      </c>
      <c r="N438" t="s">
        <v>39</v>
      </c>
      <c r="O438" t="s">
        <v>30</v>
      </c>
      <c r="P438" t="s">
        <v>31</v>
      </c>
      <c r="Q438" t="s">
        <v>33</v>
      </c>
      <c r="R438" t="s">
        <v>33</v>
      </c>
      <c r="S438" s="3">
        <v>38640700</v>
      </c>
      <c r="T438" t="str">
        <f>TEXT(tblTransactions[[#This Row],[Date]],"mmm")</f>
        <v>May</v>
      </c>
      <c r="U438">
        <f>MONTH(tblTransactions[[#This Row],[Date]])</f>
        <v>5</v>
      </c>
      <c r="V438" t="str">
        <f>"Q"&amp;ROUNDUP(MONTH(tblTransactions[[#This Row],[Date]])/3,0)</f>
        <v>Q2</v>
      </c>
    </row>
    <row r="439" spans="1:22" x14ac:dyDescent="0.25">
      <c r="A439" t="s">
        <v>517</v>
      </c>
      <c r="B439" s="2">
        <v>46154</v>
      </c>
      <c r="C439">
        <v>2026</v>
      </c>
      <c r="D439" t="s">
        <v>23</v>
      </c>
      <c r="E439" t="s">
        <v>552</v>
      </c>
      <c r="F439" t="s">
        <v>24</v>
      </c>
      <c r="G439" t="s">
        <v>54</v>
      </c>
      <c r="H439" t="s">
        <v>55</v>
      </c>
      <c r="I439" t="s">
        <v>56</v>
      </c>
      <c r="J439" t="s">
        <v>87</v>
      </c>
      <c r="K439" t="s">
        <v>55</v>
      </c>
      <c r="L439" s="3">
        <v>164700</v>
      </c>
      <c r="M439" s="3">
        <v>1082200</v>
      </c>
      <c r="N439" t="s">
        <v>39</v>
      </c>
      <c r="O439" t="s">
        <v>47</v>
      </c>
      <c r="P439" t="s">
        <v>31</v>
      </c>
      <c r="Q439" t="s">
        <v>32</v>
      </c>
      <c r="R439" t="s">
        <v>33</v>
      </c>
      <c r="S439" s="3">
        <v>38476000</v>
      </c>
      <c r="T439" t="str">
        <f>TEXT(tblTransactions[[#This Row],[Date]],"mmm")</f>
        <v>May</v>
      </c>
      <c r="U439">
        <f>MONTH(tblTransactions[[#This Row],[Date]])</f>
        <v>5</v>
      </c>
      <c r="V439" t="str">
        <f>"Q"&amp;ROUNDUP(MONTH(tblTransactions[[#This Row],[Date]])/3,0)</f>
        <v>Q2</v>
      </c>
    </row>
    <row r="440" spans="1:22" x14ac:dyDescent="0.25">
      <c r="A440" t="s">
        <v>518</v>
      </c>
      <c r="B440" s="2">
        <v>46155</v>
      </c>
      <c r="C440">
        <v>2026</v>
      </c>
      <c r="D440" t="s">
        <v>68</v>
      </c>
      <c r="E440" t="s">
        <v>557</v>
      </c>
      <c r="F440" t="s">
        <v>35</v>
      </c>
      <c r="G440" t="s">
        <v>95</v>
      </c>
      <c r="H440" t="s">
        <v>96</v>
      </c>
      <c r="I440" t="s">
        <v>56</v>
      </c>
      <c r="J440" t="s">
        <v>115</v>
      </c>
      <c r="K440" t="s">
        <v>96</v>
      </c>
      <c r="L440" s="3">
        <v>2651600</v>
      </c>
      <c r="M440" s="3">
        <v>0</v>
      </c>
      <c r="N440" t="s">
        <v>29</v>
      </c>
      <c r="O440" t="s">
        <v>60</v>
      </c>
      <c r="P440" t="s">
        <v>31</v>
      </c>
      <c r="Q440" t="s">
        <v>33</v>
      </c>
      <c r="R440" t="s">
        <v>33</v>
      </c>
      <c r="S440" s="3">
        <v>41127600</v>
      </c>
      <c r="T440" t="str">
        <f>TEXT(tblTransactions[[#This Row],[Date]],"mmm")</f>
        <v>May</v>
      </c>
      <c r="U440">
        <f>MONTH(tblTransactions[[#This Row],[Date]])</f>
        <v>5</v>
      </c>
      <c r="V440" t="str">
        <f>"Q"&amp;ROUNDUP(MONTH(tblTransactions[[#This Row],[Date]])/3,0)</f>
        <v>Q2</v>
      </c>
    </row>
    <row r="441" spans="1:22" x14ac:dyDescent="0.25">
      <c r="A441" t="s">
        <v>519</v>
      </c>
      <c r="B441" s="2">
        <v>46156</v>
      </c>
      <c r="C441">
        <v>2026</v>
      </c>
      <c r="D441" t="s">
        <v>23</v>
      </c>
      <c r="E441" t="s">
        <v>553</v>
      </c>
      <c r="F441" t="s">
        <v>24</v>
      </c>
      <c r="G441" t="s">
        <v>101</v>
      </c>
      <c r="H441" t="s">
        <v>102</v>
      </c>
      <c r="I441" t="s">
        <v>45</v>
      </c>
      <c r="J441" t="s">
        <v>57</v>
      </c>
      <c r="K441" t="s">
        <v>102</v>
      </c>
      <c r="L441" s="3">
        <v>1478600</v>
      </c>
      <c r="M441" s="3">
        <v>1815300</v>
      </c>
      <c r="N441" t="s">
        <v>29</v>
      </c>
      <c r="O441" t="s">
        <v>72</v>
      </c>
      <c r="P441" t="s">
        <v>31</v>
      </c>
      <c r="Q441" t="s">
        <v>32</v>
      </c>
      <c r="R441" t="s">
        <v>33</v>
      </c>
      <c r="S441" s="3">
        <v>39649000</v>
      </c>
      <c r="T441" t="str">
        <f>TEXT(tblTransactions[[#This Row],[Date]],"mmm")</f>
        <v>May</v>
      </c>
      <c r="U441">
        <f>MONTH(tblTransactions[[#This Row],[Date]])</f>
        <v>5</v>
      </c>
      <c r="V441" t="str">
        <f>"Q"&amp;ROUNDUP(MONTH(tblTransactions[[#This Row],[Date]])/3,0)</f>
        <v>Q2</v>
      </c>
    </row>
    <row r="442" spans="1:22" x14ac:dyDescent="0.25">
      <c r="A442" t="s">
        <v>520</v>
      </c>
      <c r="B442" s="2">
        <v>46157</v>
      </c>
      <c r="C442">
        <v>2026</v>
      </c>
      <c r="D442" t="s">
        <v>23</v>
      </c>
      <c r="E442" t="s">
        <v>554</v>
      </c>
      <c r="F442" t="s">
        <v>24</v>
      </c>
      <c r="G442" t="s">
        <v>107</v>
      </c>
      <c r="H442" t="s">
        <v>108</v>
      </c>
      <c r="I442" t="s">
        <v>45</v>
      </c>
      <c r="J442" t="s">
        <v>87</v>
      </c>
      <c r="K442" t="s">
        <v>108</v>
      </c>
      <c r="L442" s="3">
        <v>1259000</v>
      </c>
      <c r="M442" s="3">
        <v>1322100</v>
      </c>
      <c r="N442" t="s">
        <v>58</v>
      </c>
      <c r="O442" t="s">
        <v>47</v>
      </c>
      <c r="P442" t="s">
        <v>31</v>
      </c>
      <c r="Q442" t="s">
        <v>33</v>
      </c>
      <c r="R442" t="s">
        <v>33</v>
      </c>
      <c r="S442" s="3">
        <v>38390000</v>
      </c>
      <c r="T442" t="str">
        <f>TEXT(tblTransactions[[#This Row],[Date]],"mmm")</f>
        <v>May</v>
      </c>
      <c r="U442">
        <f>MONTH(tblTransactions[[#This Row],[Date]])</f>
        <v>5</v>
      </c>
      <c r="V442" t="str">
        <f>"Q"&amp;ROUNDUP(MONTH(tblTransactions[[#This Row],[Date]])/3,0)</f>
        <v>Q2</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41FD4-0286-465B-AE24-375F7E08B403}">
  <sheetPr codeName="Sheet3"/>
  <dimension ref="B2:Y62"/>
  <sheetViews>
    <sheetView topLeftCell="I39" zoomScale="90" workbookViewId="0">
      <selection activeCell="O51" sqref="O51"/>
    </sheetView>
  </sheetViews>
  <sheetFormatPr defaultRowHeight="15" x14ac:dyDescent="0.25"/>
  <cols>
    <col min="1" max="1" width="2.42578125" customWidth="1"/>
    <col min="2" max="2" width="19.140625" bestFit="1" customWidth="1"/>
    <col min="3" max="3" width="14.42578125" customWidth="1"/>
    <col min="4" max="4" width="21.85546875" bestFit="1" customWidth="1"/>
    <col min="9" max="9" width="19.140625" bestFit="1" customWidth="1"/>
    <col min="10" max="10" width="18.28515625" bestFit="1" customWidth="1"/>
    <col min="11" max="11" width="21.85546875" bestFit="1" customWidth="1"/>
    <col min="14" max="14" width="19.140625" bestFit="1" customWidth="1"/>
    <col min="15" max="15" width="16.28515625" bestFit="1" customWidth="1"/>
    <col min="16" max="16" width="14.28515625" bestFit="1" customWidth="1"/>
    <col min="17" max="17" width="18.28515625" bestFit="1" customWidth="1"/>
    <col min="24" max="24" width="19.140625" bestFit="1" customWidth="1"/>
  </cols>
  <sheetData>
    <row r="2" spans="2:17" x14ac:dyDescent="0.25">
      <c r="B2" s="8" t="s">
        <v>531</v>
      </c>
      <c r="C2" s="8"/>
      <c r="D2" s="8"/>
      <c r="E2" s="8"/>
    </row>
    <row r="4" spans="2:17" x14ac:dyDescent="0.25">
      <c r="B4" s="4" t="s">
        <v>521</v>
      </c>
      <c r="C4" t="s">
        <v>523</v>
      </c>
      <c r="D4" t="s">
        <v>524</v>
      </c>
      <c r="E4" t="s">
        <v>525</v>
      </c>
    </row>
    <row r="5" spans="2:17" x14ac:dyDescent="0.25">
      <c r="B5" s="5" t="s">
        <v>24</v>
      </c>
      <c r="C5" s="3">
        <v>345173900</v>
      </c>
      <c r="D5" s="3">
        <v>369181900</v>
      </c>
      <c r="E5" s="6">
        <v>342</v>
      </c>
    </row>
    <row r="6" spans="2:17" x14ac:dyDescent="0.25">
      <c r="B6" s="5" t="s">
        <v>35</v>
      </c>
      <c r="C6" s="3">
        <v>383563900</v>
      </c>
      <c r="D6" s="3">
        <v>0</v>
      </c>
      <c r="E6" s="6">
        <v>99</v>
      </c>
    </row>
    <row r="7" spans="2:17" x14ac:dyDescent="0.25">
      <c r="B7" s="5" t="s">
        <v>522</v>
      </c>
      <c r="C7" s="3">
        <v>728737800</v>
      </c>
      <c r="D7" s="3">
        <v>369181900</v>
      </c>
      <c r="E7" s="6">
        <v>441</v>
      </c>
    </row>
    <row r="10" spans="2:17" x14ac:dyDescent="0.25">
      <c r="B10" s="14" t="s">
        <v>526</v>
      </c>
      <c r="C10" s="14" t="s">
        <v>530</v>
      </c>
      <c r="N10" s="8" t="s">
        <v>550</v>
      </c>
      <c r="O10" s="8"/>
      <c r="P10" s="8"/>
      <c r="Q10" s="8"/>
    </row>
    <row r="11" spans="2:17" x14ac:dyDescent="0.25">
      <c r="B11" s="7" t="s">
        <v>527</v>
      </c>
      <c r="C11" s="16">
        <f>GETPIVOTDATA("Sum of Amount (Rp)",$B$4,"Transaction Type","Income")</f>
        <v>383563900</v>
      </c>
      <c r="H11" s="8" t="s">
        <v>548</v>
      </c>
      <c r="I11" s="8"/>
      <c r="J11" s="8"/>
      <c r="K11" s="8"/>
      <c r="N11" s="4" t="s">
        <v>5</v>
      </c>
      <c r="O11" t="s">
        <v>24</v>
      </c>
    </row>
    <row r="12" spans="2:17" x14ac:dyDescent="0.25">
      <c r="B12" s="7" t="s">
        <v>545</v>
      </c>
      <c r="C12" s="11">
        <f>GETPIVOTDATA("Sum of Amount (Rp)",$B$4,"Transaction Type","Expense")</f>
        <v>345173900</v>
      </c>
    </row>
    <row r="13" spans="2:17" x14ac:dyDescent="0.25">
      <c r="B13" s="7" t="s">
        <v>546</v>
      </c>
      <c r="C13" s="11">
        <f>C11-C12</f>
        <v>38390000</v>
      </c>
      <c r="H13" s="4" t="s">
        <v>523</v>
      </c>
      <c r="I13" s="4" t="s">
        <v>549</v>
      </c>
      <c r="N13" s="4" t="s">
        <v>521</v>
      </c>
      <c r="O13" t="s">
        <v>523</v>
      </c>
    </row>
    <row r="14" spans="2:17" x14ac:dyDescent="0.25">
      <c r="B14" s="7" t="s">
        <v>547</v>
      </c>
      <c r="C14" s="12">
        <f>IFERROR(C13/C11,0)</f>
        <v>0.10008762555600254</v>
      </c>
      <c r="H14" s="4" t="s">
        <v>521</v>
      </c>
      <c r="I14" t="s">
        <v>24</v>
      </c>
      <c r="J14" t="s">
        <v>35</v>
      </c>
      <c r="N14" s="5" t="s">
        <v>74</v>
      </c>
      <c r="O14" s="3">
        <v>43250800</v>
      </c>
    </row>
    <row r="15" spans="2:17" x14ac:dyDescent="0.25">
      <c r="B15" s="7" t="s">
        <v>528</v>
      </c>
      <c r="C15" s="12">
        <f>IFERROR(GETPIVOTDATA("Sum of Amount (Rp)",$B$4,"Transaction Type","Expense")/GETPIVOTDATA("Sum of Budget (Rp)",$B$4,"Transaction Type","Expense"),0)</f>
        <v>0.93496972630565045</v>
      </c>
      <c r="H15" s="5" t="s">
        <v>533</v>
      </c>
      <c r="I15" s="3">
        <v>46094700</v>
      </c>
      <c r="J15" s="3">
        <v>68465000</v>
      </c>
      <c r="N15" s="5" t="s">
        <v>101</v>
      </c>
      <c r="O15" s="3">
        <v>44900800</v>
      </c>
    </row>
    <row r="16" spans="2:17" x14ac:dyDescent="0.25">
      <c r="B16" s="13" t="s">
        <v>529</v>
      </c>
      <c r="C16" s="11">
        <f>IFERROR(INDEX(Dataset!$S$2:$S$1048576,MATCH(MAX(Dataset!$B$2:$B$1048576),Dataset!$B$2:$B$1048576,0)),0)</f>
        <v>11953100</v>
      </c>
      <c r="H16" s="5" t="s">
        <v>536</v>
      </c>
      <c r="I16" s="3">
        <v>33640000</v>
      </c>
      <c r="J16" s="3">
        <v>28373600</v>
      </c>
      <c r="N16" s="5" t="s">
        <v>43</v>
      </c>
      <c r="O16" s="3">
        <v>42931800</v>
      </c>
    </row>
    <row r="17" spans="8:24" x14ac:dyDescent="0.25">
      <c r="H17" s="5" t="s">
        <v>535</v>
      </c>
      <c r="I17" s="3">
        <v>42650100</v>
      </c>
      <c r="J17" s="3">
        <v>63172400</v>
      </c>
      <c r="N17" s="5" t="s">
        <v>107</v>
      </c>
      <c r="O17" s="3">
        <v>41759800</v>
      </c>
    </row>
    <row r="18" spans="8:24" x14ac:dyDescent="0.25">
      <c r="H18" s="5" t="s">
        <v>534</v>
      </c>
      <c r="I18" s="3">
        <v>43439000</v>
      </c>
      <c r="J18" s="3">
        <v>50715400</v>
      </c>
      <c r="N18" s="5" t="s">
        <v>54</v>
      </c>
      <c r="O18" s="3">
        <v>46655300</v>
      </c>
    </row>
    <row r="19" spans="8:24" x14ac:dyDescent="0.25">
      <c r="H19" s="5" t="s">
        <v>532</v>
      </c>
      <c r="I19" s="3">
        <v>33713300</v>
      </c>
      <c r="J19" s="3">
        <v>17618900</v>
      </c>
      <c r="N19" s="5" t="s">
        <v>70</v>
      </c>
      <c r="O19" s="3">
        <v>42093400</v>
      </c>
    </row>
    <row r="20" spans="8:24" x14ac:dyDescent="0.25">
      <c r="H20" s="5" t="s">
        <v>543</v>
      </c>
      <c r="I20" s="3">
        <v>13841500</v>
      </c>
      <c r="J20" s="3">
        <v>20329800</v>
      </c>
      <c r="N20" s="5" t="s">
        <v>25</v>
      </c>
      <c r="O20" s="3">
        <v>36716400</v>
      </c>
    </row>
    <row r="21" spans="8:24" x14ac:dyDescent="0.25">
      <c r="H21" s="5" t="s">
        <v>542</v>
      </c>
      <c r="I21" s="3">
        <v>26143100</v>
      </c>
      <c r="J21" s="3">
        <v>9743200</v>
      </c>
      <c r="N21" s="5" t="s">
        <v>62</v>
      </c>
      <c r="O21" s="3">
        <v>46865600</v>
      </c>
    </row>
    <row r="22" spans="8:24" x14ac:dyDescent="0.25">
      <c r="H22" s="5" t="s">
        <v>541</v>
      </c>
      <c r="I22" s="3">
        <v>22277400</v>
      </c>
      <c r="J22" s="3">
        <v>11764700</v>
      </c>
      <c r="N22" s="5" t="s">
        <v>522</v>
      </c>
      <c r="O22" s="3">
        <v>345173900</v>
      </c>
      <c r="U22" s="8"/>
      <c r="V22" s="8"/>
      <c r="W22" s="8"/>
      <c r="X22" s="8"/>
    </row>
    <row r="23" spans="8:24" x14ac:dyDescent="0.25">
      <c r="H23" s="5" t="s">
        <v>540</v>
      </c>
      <c r="I23" s="3">
        <v>26325500</v>
      </c>
      <c r="J23" s="3">
        <v>12983900</v>
      </c>
    </row>
    <row r="24" spans="8:24" x14ac:dyDescent="0.25">
      <c r="H24" s="5" t="s">
        <v>539</v>
      </c>
      <c r="I24" s="3">
        <v>16393300</v>
      </c>
      <c r="J24" s="3">
        <v>42985900</v>
      </c>
    </row>
    <row r="25" spans="8:24" x14ac:dyDescent="0.25">
      <c r="H25" s="5" t="s">
        <v>538</v>
      </c>
      <c r="I25" s="3">
        <v>19456900</v>
      </c>
      <c r="J25" s="3">
        <v>34014700</v>
      </c>
      <c r="U25" s="8"/>
      <c r="V25" s="8"/>
      <c r="W25" s="8"/>
      <c r="X25" s="8"/>
    </row>
    <row r="26" spans="8:24" x14ac:dyDescent="0.25">
      <c r="H26" s="5" t="s">
        <v>537</v>
      </c>
      <c r="I26" s="3">
        <v>21199100</v>
      </c>
      <c r="J26" s="3">
        <v>23396400</v>
      </c>
    </row>
    <row r="27" spans="8:24" x14ac:dyDescent="0.25">
      <c r="H27" s="5" t="s">
        <v>522</v>
      </c>
      <c r="I27" s="3">
        <v>345173900</v>
      </c>
      <c r="J27" s="3">
        <v>383563900</v>
      </c>
    </row>
    <row r="28" spans="8:24" x14ac:dyDescent="0.25">
      <c r="M28" s="8" t="s">
        <v>551</v>
      </c>
      <c r="N28" s="8"/>
      <c r="O28" s="8"/>
      <c r="P28" s="8"/>
    </row>
    <row r="29" spans="8:24" x14ac:dyDescent="0.25">
      <c r="N29" s="4" t="s">
        <v>521</v>
      </c>
      <c r="O29" t="s">
        <v>523</v>
      </c>
    </row>
    <row r="30" spans="8:24" x14ac:dyDescent="0.25">
      <c r="I30" s="8" t="s">
        <v>558</v>
      </c>
      <c r="J30" s="8"/>
      <c r="K30" s="8"/>
      <c r="L30" s="8"/>
      <c r="N30" s="5" t="s">
        <v>58</v>
      </c>
      <c r="O30" s="3">
        <v>196787500</v>
      </c>
    </row>
    <row r="31" spans="8:24" x14ac:dyDescent="0.25">
      <c r="J31" s="4" t="s">
        <v>521</v>
      </c>
      <c r="K31" t="s">
        <v>525</v>
      </c>
      <c r="N31" s="5" t="s">
        <v>39</v>
      </c>
      <c r="O31" s="3">
        <v>133144500</v>
      </c>
    </row>
    <row r="32" spans="8:24" x14ac:dyDescent="0.25">
      <c r="J32" s="5" t="s">
        <v>552</v>
      </c>
      <c r="K32" s="6">
        <v>62</v>
      </c>
      <c r="N32" s="5" t="s">
        <v>51</v>
      </c>
      <c r="O32" s="3">
        <v>193681600</v>
      </c>
    </row>
    <row r="33" spans="10:25" x14ac:dyDescent="0.25">
      <c r="J33" s="5" t="s">
        <v>553</v>
      </c>
      <c r="K33" s="6">
        <v>78</v>
      </c>
      <c r="N33" s="5" t="s">
        <v>29</v>
      </c>
      <c r="O33" s="3">
        <v>205124200</v>
      </c>
    </row>
    <row r="34" spans="10:25" x14ac:dyDescent="0.25">
      <c r="J34" s="5" t="s">
        <v>554</v>
      </c>
      <c r="K34" s="6">
        <v>74</v>
      </c>
      <c r="N34" s="5" t="s">
        <v>522</v>
      </c>
      <c r="O34" s="3">
        <v>728737800</v>
      </c>
    </row>
    <row r="35" spans="10:25" x14ac:dyDescent="0.25">
      <c r="J35" s="5" t="s">
        <v>555</v>
      </c>
      <c r="K35" s="6">
        <v>60</v>
      </c>
    </row>
    <row r="36" spans="10:25" x14ac:dyDescent="0.25">
      <c r="J36" s="5" t="s">
        <v>556</v>
      </c>
      <c r="K36" s="6">
        <v>77</v>
      </c>
    </row>
    <row r="37" spans="10:25" x14ac:dyDescent="0.25">
      <c r="J37" s="5" t="s">
        <v>557</v>
      </c>
      <c r="K37" s="6">
        <v>90</v>
      </c>
    </row>
    <row r="38" spans="10:25" x14ac:dyDescent="0.25">
      <c r="J38" s="5" t="s">
        <v>522</v>
      </c>
      <c r="K38" s="6">
        <v>441</v>
      </c>
      <c r="O38" s="4" t="s">
        <v>5</v>
      </c>
      <c r="P38" t="s">
        <v>35</v>
      </c>
    </row>
    <row r="39" spans="10:25" x14ac:dyDescent="0.25">
      <c r="N39" s="8" t="s">
        <v>559</v>
      </c>
      <c r="O39" s="8"/>
      <c r="P39" s="8"/>
      <c r="Q39" s="8"/>
      <c r="V39" s="8" t="s">
        <v>560</v>
      </c>
      <c r="W39" s="8"/>
      <c r="X39" s="8"/>
      <c r="Y39" s="8"/>
    </row>
    <row r="40" spans="10:25" x14ac:dyDescent="0.25">
      <c r="O40" s="4" t="s">
        <v>521</v>
      </c>
      <c r="P40" t="s">
        <v>523</v>
      </c>
      <c r="W40" s="4" t="s">
        <v>521</v>
      </c>
      <c r="X40" t="s">
        <v>523</v>
      </c>
    </row>
    <row r="41" spans="10:25" x14ac:dyDescent="0.25">
      <c r="O41" s="5" t="s">
        <v>49</v>
      </c>
      <c r="P41" s="3">
        <v>83355800</v>
      </c>
      <c r="W41" s="5" t="s">
        <v>42</v>
      </c>
      <c r="X41" s="3">
        <v>233345400</v>
      </c>
    </row>
    <row r="42" spans="10:25" x14ac:dyDescent="0.25">
      <c r="O42" s="5" t="s">
        <v>80</v>
      </c>
      <c r="P42" s="3">
        <v>116749100</v>
      </c>
      <c r="W42" s="5" t="s">
        <v>23</v>
      </c>
      <c r="X42" s="3">
        <v>283316300</v>
      </c>
    </row>
    <row r="43" spans="10:25" x14ac:dyDescent="0.25">
      <c r="J43" s="17" t="s">
        <v>552</v>
      </c>
      <c r="K43" s="7">
        <f>GETPIVOTDATA("Transaction ID",$K$32,"Bank",J43)</f>
        <v>62</v>
      </c>
      <c r="O43" s="5" t="s">
        <v>36</v>
      </c>
      <c r="P43" s="3">
        <v>85688900</v>
      </c>
      <c r="W43" s="5" t="s">
        <v>68</v>
      </c>
      <c r="X43" s="3">
        <v>212076100</v>
      </c>
    </row>
    <row r="44" spans="10:25" x14ac:dyDescent="0.25">
      <c r="J44" s="17" t="s">
        <v>553</v>
      </c>
      <c r="K44" s="7">
        <f t="shared" ref="K44:K48" si="0">GETPIVOTDATA("Transaction ID",$K$32,"Bank",J44)</f>
        <v>78</v>
      </c>
      <c r="O44" s="5" t="s">
        <v>95</v>
      </c>
      <c r="P44" s="3">
        <v>97770100</v>
      </c>
      <c r="W44" s="5" t="s">
        <v>522</v>
      </c>
      <c r="X44" s="3">
        <v>728737800</v>
      </c>
    </row>
    <row r="45" spans="10:25" x14ac:dyDescent="0.25">
      <c r="J45" s="17" t="s">
        <v>554</v>
      </c>
      <c r="K45" s="7">
        <f t="shared" si="0"/>
        <v>74</v>
      </c>
      <c r="O45" s="5" t="s">
        <v>522</v>
      </c>
      <c r="P45" s="3">
        <v>383563900</v>
      </c>
    </row>
    <row r="46" spans="10:25" x14ac:dyDescent="0.25">
      <c r="J46" s="17" t="s">
        <v>555</v>
      </c>
      <c r="K46" s="7">
        <f t="shared" si="0"/>
        <v>60</v>
      </c>
    </row>
    <row r="47" spans="10:25" x14ac:dyDescent="0.25">
      <c r="J47" s="17" t="s">
        <v>556</v>
      </c>
      <c r="K47" s="7">
        <f t="shared" si="0"/>
        <v>77</v>
      </c>
    </row>
    <row r="48" spans="10:25" x14ac:dyDescent="0.25">
      <c r="J48" s="17" t="s">
        <v>557</v>
      </c>
      <c r="K48" s="7">
        <f t="shared" si="0"/>
        <v>90</v>
      </c>
    </row>
    <row r="49" spans="9:17" x14ac:dyDescent="0.25">
      <c r="O49" s="4" t="s">
        <v>5</v>
      </c>
      <c r="P49" t="s">
        <v>24</v>
      </c>
    </row>
    <row r="50" spans="9:17" x14ac:dyDescent="0.25">
      <c r="N50" s="8" t="s">
        <v>559</v>
      </c>
      <c r="O50" s="8"/>
      <c r="P50" s="8"/>
      <c r="Q50" s="8"/>
    </row>
    <row r="51" spans="9:17" x14ac:dyDescent="0.25">
      <c r="O51" s="4" t="s">
        <v>521</v>
      </c>
      <c r="P51" t="s">
        <v>523</v>
      </c>
      <c r="Q51" t="s">
        <v>524</v>
      </c>
    </row>
    <row r="52" spans="9:17" x14ac:dyDescent="0.25">
      <c r="O52" s="5" t="s">
        <v>74</v>
      </c>
      <c r="P52" s="3">
        <v>43250800</v>
      </c>
      <c r="Q52" s="3">
        <v>47693900</v>
      </c>
    </row>
    <row r="53" spans="9:17" x14ac:dyDescent="0.25">
      <c r="J53" s="4" t="s">
        <v>5</v>
      </c>
      <c r="K53" t="s">
        <v>24</v>
      </c>
      <c r="O53" s="5" t="s">
        <v>101</v>
      </c>
      <c r="P53" s="3">
        <v>44900800</v>
      </c>
      <c r="Q53" s="3">
        <v>46171200</v>
      </c>
    </row>
    <row r="54" spans="9:17" x14ac:dyDescent="0.25">
      <c r="I54" s="8" t="s">
        <v>559</v>
      </c>
      <c r="J54" s="8"/>
      <c r="K54" s="8"/>
      <c r="L54" s="8"/>
      <c r="O54" s="5" t="s">
        <v>43</v>
      </c>
      <c r="P54" s="3">
        <v>42931800</v>
      </c>
      <c r="Q54" s="3">
        <v>44915300</v>
      </c>
    </row>
    <row r="55" spans="9:17" x14ac:dyDescent="0.25">
      <c r="J55" s="4" t="s">
        <v>521</v>
      </c>
      <c r="K55" t="s">
        <v>523</v>
      </c>
      <c r="O55" s="5" t="s">
        <v>107</v>
      </c>
      <c r="P55" s="3">
        <v>41759800</v>
      </c>
      <c r="Q55" s="3">
        <v>43157700</v>
      </c>
    </row>
    <row r="56" spans="9:17" x14ac:dyDescent="0.25">
      <c r="J56" s="5" t="s">
        <v>56</v>
      </c>
      <c r="K56" s="3">
        <v>58501000</v>
      </c>
      <c r="O56" s="5" t="s">
        <v>54</v>
      </c>
      <c r="P56" s="3">
        <v>46655300</v>
      </c>
      <c r="Q56" s="3">
        <v>51093200</v>
      </c>
    </row>
    <row r="57" spans="9:17" x14ac:dyDescent="0.25">
      <c r="J57" s="5" t="s">
        <v>27</v>
      </c>
      <c r="K57" s="3">
        <v>57213000</v>
      </c>
      <c r="O57" s="5" t="s">
        <v>70</v>
      </c>
      <c r="P57" s="3">
        <v>42093400</v>
      </c>
      <c r="Q57" s="3">
        <v>47635000</v>
      </c>
    </row>
    <row r="58" spans="9:17" x14ac:dyDescent="0.25">
      <c r="J58" s="5" t="s">
        <v>42</v>
      </c>
      <c r="K58" s="3">
        <v>53538200</v>
      </c>
      <c r="O58" s="5" t="s">
        <v>25</v>
      </c>
      <c r="P58" s="3">
        <v>36716400</v>
      </c>
      <c r="Q58" s="3">
        <v>33427300</v>
      </c>
    </row>
    <row r="59" spans="9:17" x14ac:dyDescent="0.25">
      <c r="J59" s="5" t="s">
        <v>45</v>
      </c>
      <c r="K59" s="3">
        <v>59155300</v>
      </c>
      <c r="O59" s="5" t="s">
        <v>62</v>
      </c>
      <c r="P59" s="3">
        <v>46865600</v>
      </c>
      <c r="Q59" s="3">
        <v>55088300</v>
      </c>
    </row>
    <row r="60" spans="9:17" x14ac:dyDescent="0.25">
      <c r="J60" s="5" t="s">
        <v>37</v>
      </c>
      <c r="K60" s="3">
        <v>54672500</v>
      </c>
      <c r="O60" s="5" t="s">
        <v>522</v>
      </c>
      <c r="P60" s="3">
        <v>345173900</v>
      </c>
      <c r="Q60" s="3">
        <v>369181900</v>
      </c>
    </row>
    <row r="61" spans="9:17" x14ac:dyDescent="0.25">
      <c r="J61" s="5" t="s">
        <v>50</v>
      </c>
      <c r="K61" s="3">
        <v>62093900</v>
      </c>
    </row>
    <row r="62" spans="9:17" x14ac:dyDescent="0.25">
      <c r="J62" s="5" t="s">
        <v>522</v>
      </c>
      <c r="K62" s="3">
        <v>345173900</v>
      </c>
    </row>
  </sheetData>
  <mergeCells count="11">
    <mergeCell ref="N39:Q39"/>
    <mergeCell ref="V39:Y39"/>
    <mergeCell ref="U22:X22"/>
    <mergeCell ref="U25:X25"/>
    <mergeCell ref="N50:Q50"/>
    <mergeCell ref="I54:L54"/>
    <mergeCell ref="B2:E2"/>
    <mergeCell ref="H11:K11"/>
    <mergeCell ref="N10:Q10"/>
    <mergeCell ref="M28:P28"/>
    <mergeCell ref="I30:L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0D01E-5446-449B-82F8-CE900C2E5309}">
  <sheetPr codeName="Sheet4"/>
  <dimension ref="A1"/>
  <sheetViews>
    <sheetView showGridLines="0" showRowColHeaders="0" tabSelected="1" zoomScale="66" zoomScaleNormal="66" workbookViewId="0">
      <selection activeCell="AA15" sqref="AA15"/>
    </sheetView>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 kumar</dc:creator>
  <dc:description/>
  <cp:lastModifiedBy>Dimas Febrianto</cp:lastModifiedBy>
  <cp:revision>0</cp:revision>
  <dcterms:created xsi:type="dcterms:W3CDTF">2026-08-01T12:07:32Z</dcterms:created>
  <dcterms:modified xsi:type="dcterms:W3CDTF">2026-09-25T12:55:19Z</dcterms:modified>
  <dc:language>en-US</dc:language>
</cp:coreProperties>
</file>